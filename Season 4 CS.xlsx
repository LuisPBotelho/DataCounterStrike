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1c268288c06603/Documentos/Data counter/"/>
    </mc:Choice>
  </mc:AlternateContent>
  <xr:revisionPtr revIDLastSave="6062" documentId="8_{AA1FA9D2-EAA8-4B7D-ABFC-0B984AB7ACAD}" xr6:coauthVersionLast="47" xr6:coauthVersionMax="47" xr10:uidLastSave="{5A3C0DC5-358C-4A13-B1D8-8F7D42E3A194}"/>
  <bookViews>
    <workbookView xWindow="-38520" yWindow="-120" windowWidth="38640" windowHeight="21120" activeTab="1" xr2:uid="{2BCC3438-6EE3-4CF8-847E-2AF48D0DE3A4}"/>
  </bookViews>
  <sheets>
    <sheet name="Planilha1" sheetId="2" r:id="rId1"/>
    <sheet name="Season 4" sheetId="1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0" i="1" l="1"/>
  <c r="I230" i="1"/>
  <c r="K230" i="1"/>
  <c r="A229" i="1"/>
  <c r="I229" i="1"/>
  <c r="K229" i="1"/>
  <c r="A228" i="1"/>
  <c r="I228" i="1"/>
  <c r="K228" i="1"/>
  <c r="A227" i="1"/>
  <c r="I227" i="1"/>
  <c r="K227" i="1"/>
  <c r="A226" i="1"/>
  <c r="I226" i="1"/>
  <c r="K226" i="1"/>
  <c r="A225" i="1"/>
  <c r="I225" i="1"/>
  <c r="K225" i="1"/>
  <c r="A224" i="1"/>
  <c r="I224" i="1"/>
  <c r="K224" i="1"/>
  <c r="A223" i="1"/>
  <c r="I223" i="1"/>
  <c r="K223" i="1"/>
  <c r="A222" i="1"/>
  <c r="I222" i="1"/>
  <c r="K222" i="1"/>
  <c r="A221" i="1"/>
  <c r="I221" i="1"/>
  <c r="K221" i="1"/>
  <c r="A220" i="1"/>
  <c r="I220" i="1"/>
  <c r="K220" i="1"/>
  <c r="A219" i="1"/>
  <c r="I219" i="1"/>
  <c r="K219" i="1"/>
  <c r="A218" i="1"/>
  <c r="I218" i="1"/>
  <c r="K218" i="1"/>
  <c r="A217" i="1"/>
  <c r="I217" i="1"/>
  <c r="K217" i="1"/>
  <c r="A216" i="1"/>
  <c r="I216" i="1"/>
  <c r="K216" i="1"/>
  <c r="A215" i="1"/>
  <c r="I215" i="1"/>
  <c r="K215" i="1"/>
  <c r="A214" i="1"/>
  <c r="I214" i="1"/>
  <c r="K214" i="1"/>
  <c r="A213" i="1"/>
  <c r="I213" i="1"/>
  <c r="K213" i="1"/>
  <c r="A212" i="1"/>
  <c r="I212" i="1"/>
  <c r="K212" i="1"/>
  <c r="A211" i="1"/>
  <c r="I211" i="1"/>
  <c r="K211" i="1"/>
  <c r="A210" i="1"/>
  <c r="I210" i="1"/>
  <c r="K210" i="1"/>
  <c r="A209" i="1"/>
  <c r="I209" i="1"/>
  <c r="K209" i="1"/>
  <c r="A208" i="1"/>
  <c r="I208" i="1"/>
  <c r="K208" i="1"/>
  <c r="A207" i="1"/>
  <c r="I207" i="1"/>
  <c r="K207" i="1"/>
  <c r="A206" i="1"/>
  <c r="I206" i="1"/>
  <c r="K206" i="1"/>
  <c r="A205" i="1"/>
  <c r="I205" i="1"/>
  <c r="K205" i="1"/>
  <c r="A204" i="1"/>
  <c r="I204" i="1"/>
  <c r="K204" i="1"/>
  <c r="A203" i="1"/>
  <c r="I203" i="1"/>
  <c r="K203" i="1"/>
  <c r="A202" i="1"/>
  <c r="I202" i="1"/>
  <c r="K202" i="1"/>
  <c r="A191" i="1"/>
  <c r="I191" i="1"/>
  <c r="K191" i="1"/>
  <c r="A201" i="1"/>
  <c r="I201" i="1"/>
  <c r="K201" i="1"/>
  <c r="A200" i="1"/>
  <c r="I200" i="1"/>
  <c r="K200" i="1"/>
  <c r="A199" i="1"/>
  <c r="I199" i="1"/>
  <c r="K199" i="1"/>
  <c r="A198" i="1"/>
  <c r="I198" i="1"/>
  <c r="K198" i="1"/>
  <c r="A197" i="1"/>
  <c r="I197" i="1"/>
  <c r="K197" i="1"/>
  <c r="A196" i="1"/>
  <c r="I196" i="1"/>
  <c r="K196" i="1"/>
  <c r="A195" i="1"/>
  <c r="I195" i="1"/>
  <c r="K195" i="1"/>
  <c r="A194" i="1"/>
  <c r="I194" i="1"/>
  <c r="K194" i="1"/>
  <c r="A193" i="1"/>
  <c r="I193" i="1"/>
  <c r="K193" i="1"/>
  <c r="A192" i="1"/>
  <c r="I192" i="1"/>
  <c r="K192" i="1"/>
  <c r="A189" i="1"/>
  <c r="I189" i="1"/>
  <c r="K189" i="1"/>
  <c r="A190" i="1"/>
  <c r="I190" i="1"/>
  <c r="K190" i="1"/>
  <c r="A188" i="1"/>
  <c r="I188" i="1"/>
  <c r="K188" i="1"/>
  <c r="A187" i="1"/>
  <c r="I187" i="1"/>
  <c r="K187" i="1"/>
  <c r="A186" i="1"/>
  <c r="I186" i="1"/>
  <c r="K186" i="1"/>
  <c r="A185" i="1"/>
  <c r="I185" i="1"/>
  <c r="K185" i="1"/>
  <c r="A184" i="1"/>
  <c r="I184" i="1"/>
  <c r="K184" i="1"/>
  <c r="AD231" i="1"/>
  <c r="AC231" i="1"/>
  <c r="A183" i="1"/>
  <c r="I183" i="1"/>
  <c r="K183" i="1"/>
  <c r="A182" i="1"/>
  <c r="I182" i="1"/>
  <c r="K182" i="1"/>
  <c r="A181" i="1"/>
  <c r="I181" i="1"/>
  <c r="K181" i="1"/>
  <c r="A180" i="1"/>
  <c r="I180" i="1"/>
  <c r="K180" i="1"/>
  <c r="A179" i="1"/>
  <c r="I179" i="1"/>
  <c r="K179" i="1"/>
  <c r="A178" i="1"/>
  <c r="I178" i="1"/>
  <c r="K178" i="1"/>
  <c r="A177" i="1"/>
  <c r="I177" i="1"/>
  <c r="K177" i="1"/>
  <c r="K175" i="1"/>
  <c r="A176" i="1"/>
  <c r="I176" i="1"/>
  <c r="K176" i="1"/>
  <c r="A175" i="1"/>
  <c r="I175" i="1"/>
  <c r="A174" i="1"/>
  <c r="I174" i="1"/>
  <c r="K174" i="1"/>
  <c r="A173" i="1"/>
  <c r="I173" i="1"/>
  <c r="K173" i="1"/>
  <c r="A172" i="1"/>
  <c r="I172" i="1"/>
  <c r="K172" i="1"/>
  <c r="A171" i="1"/>
  <c r="I171" i="1"/>
  <c r="K171" i="1"/>
  <c r="A170" i="1"/>
  <c r="I170" i="1"/>
  <c r="K170" i="1"/>
  <c r="A169" i="1"/>
  <c r="I169" i="1"/>
  <c r="K169" i="1"/>
  <c r="A168" i="1"/>
  <c r="I168" i="1"/>
  <c r="K168" i="1"/>
  <c r="A167" i="1"/>
  <c r="I167" i="1"/>
  <c r="K167" i="1"/>
  <c r="A166" i="1"/>
  <c r="I166" i="1"/>
  <c r="K166" i="1"/>
  <c r="A165" i="1"/>
  <c r="I165" i="1"/>
  <c r="K165" i="1"/>
  <c r="A164" i="1"/>
  <c r="I164" i="1"/>
  <c r="K164" i="1"/>
  <c r="A163" i="1"/>
  <c r="I163" i="1"/>
  <c r="K163" i="1"/>
  <c r="A162" i="1"/>
  <c r="I162" i="1"/>
  <c r="K162" i="1"/>
  <c r="A161" i="1"/>
  <c r="I161" i="1"/>
  <c r="K161" i="1"/>
  <c r="A160" i="1"/>
  <c r="I160" i="1"/>
  <c r="K160" i="1"/>
  <c r="A159" i="1"/>
  <c r="I159" i="1"/>
  <c r="K159" i="1"/>
  <c r="A158" i="1"/>
  <c r="I158" i="1"/>
  <c r="K158" i="1"/>
  <c r="W231" i="1"/>
  <c r="A157" i="1"/>
  <c r="I157" i="1"/>
  <c r="K157" i="1"/>
  <c r="A156" i="1"/>
  <c r="I156" i="1"/>
  <c r="K156" i="1"/>
  <c r="A155" i="1"/>
  <c r="I155" i="1"/>
  <c r="K155" i="1"/>
  <c r="A154" i="1"/>
  <c r="I154" i="1"/>
  <c r="K154" i="1"/>
  <c r="A153" i="1"/>
  <c r="I153" i="1"/>
  <c r="K153" i="1"/>
  <c r="A152" i="1"/>
  <c r="I152" i="1"/>
  <c r="K152" i="1"/>
  <c r="A151" i="1"/>
  <c r="I151" i="1"/>
  <c r="K151" i="1"/>
  <c r="A150" i="1"/>
  <c r="I150" i="1"/>
  <c r="K150" i="1"/>
  <c r="A149" i="1"/>
  <c r="I149" i="1"/>
  <c r="K149" i="1"/>
  <c r="A148" i="1"/>
  <c r="I148" i="1"/>
  <c r="K148" i="1"/>
  <c r="A147" i="1"/>
  <c r="I147" i="1"/>
  <c r="K147" i="1"/>
  <c r="AE231" i="1"/>
  <c r="A146" i="1"/>
  <c r="I146" i="1"/>
  <c r="K146" i="1"/>
  <c r="A145" i="1"/>
  <c r="I145" i="1"/>
  <c r="K145" i="1"/>
  <c r="A144" i="1"/>
  <c r="I144" i="1"/>
  <c r="K144" i="1"/>
  <c r="A143" i="1"/>
  <c r="I143" i="1"/>
  <c r="K143" i="1"/>
  <c r="A142" i="1"/>
  <c r="I142" i="1"/>
  <c r="K142" i="1"/>
  <c r="A139" i="1"/>
  <c r="I139" i="1"/>
  <c r="K139" i="1"/>
  <c r="A141" i="1"/>
  <c r="I141" i="1"/>
  <c r="K141" i="1"/>
  <c r="A140" i="1"/>
  <c r="I140" i="1"/>
  <c r="K140" i="1"/>
  <c r="A138" i="1"/>
  <c r="I138" i="1"/>
  <c r="K138" i="1"/>
  <c r="A137" i="1"/>
  <c r="I137" i="1"/>
  <c r="K137" i="1"/>
  <c r="A136" i="1"/>
  <c r="I136" i="1"/>
  <c r="K136" i="1"/>
  <c r="A135" i="1"/>
  <c r="I135" i="1"/>
  <c r="K135" i="1"/>
  <c r="A134" i="1"/>
  <c r="I134" i="1"/>
  <c r="K134" i="1"/>
  <c r="A133" i="1"/>
  <c r="I133" i="1"/>
  <c r="K133" i="1"/>
  <c r="A132" i="1"/>
  <c r="I132" i="1"/>
  <c r="K132" i="1"/>
  <c r="A131" i="1"/>
  <c r="I131" i="1"/>
  <c r="K131" i="1"/>
  <c r="A130" i="1"/>
  <c r="I130" i="1"/>
  <c r="K130" i="1"/>
  <c r="A129" i="1"/>
  <c r="I129" i="1"/>
  <c r="K129" i="1"/>
  <c r="A128" i="1"/>
  <c r="I128" i="1"/>
  <c r="K128" i="1"/>
  <c r="A127" i="1"/>
  <c r="I127" i="1"/>
  <c r="K127" i="1"/>
  <c r="A126" i="1"/>
  <c r="I126" i="1"/>
  <c r="K126" i="1"/>
  <c r="A125" i="1"/>
  <c r="I125" i="1"/>
  <c r="K125" i="1"/>
  <c r="A124" i="1"/>
  <c r="I124" i="1"/>
  <c r="K124" i="1"/>
  <c r="A123" i="1"/>
  <c r="I123" i="1"/>
  <c r="K123" i="1"/>
  <c r="A122" i="1"/>
  <c r="I122" i="1"/>
  <c r="K122" i="1"/>
  <c r="A121" i="1"/>
  <c r="I121" i="1"/>
  <c r="K121" i="1"/>
  <c r="A120" i="1"/>
  <c r="I120" i="1"/>
  <c r="K120" i="1"/>
  <c r="AB231" i="1"/>
  <c r="AA231" i="1"/>
  <c r="Z231" i="1"/>
  <c r="A119" i="1"/>
  <c r="I119" i="1"/>
  <c r="K119" i="1"/>
  <c r="A118" i="1"/>
  <c r="I118" i="1"/>
  <c r="K118" i="1"/>
  <c r="A117" i="1"/>
  <c r="I117" i="1"/>
  <c r="K117" i="1"/>
  <c r="A116" i="1"/>
  <c r="I116" i="1"/>
  <c r="K116" i="1"/>
  <c r="A115" i="1"/>
  <c r="I115" i="1"/>
  <c r="K115" i="1"/>
  <c r="A114" i="1"/>
  <c r="I114" i="1"/>
  <c r="K114" i="1"/>
  <c r="A113" i="1"/>
  <c r="I113" i="1"/>
  <c r="K113" i="1"/>
  <c r="A112" i="1"/>
  <c r="I112" i="1"/>
  <c r="K112" i="1"/>
  <c r="A111" i="1"/>
  <c r="I111" i="1"/>
  <c r="K111" i="1"/>
  <c r="A110" i="1"/>
  <c r="I110" i="1"/>
  <c r="K110" i="1"/>
  <c r="A109" i="1"/>
  <c r="I109" i="1"/>
  <c r="K109" i="1"/>
  <c r="A108" i="1"/>
  <c r="I108" i="1"/>
  <c r="K108" i="1"/>
  <c r="A107" i="1"/>
  <c r="I107" i="1"/>
  <c r="K107" i="1"/>
  <c r="A106" i="1"/>
  <c r="I106" i="1"/>
  <c r="K106" i="1"/>
  <c r="A105" i="1"/>
  <c r="I105" i="1"/>
  <c r="K105" i="1"/>
  <c r="A104" i="1"/>
  <c r="I104" i="1"/>
  <c r="K104" i="1"/>
  <c r="A103" i="1"/>
  <c r="I103" i="1"/>
  <c r="K103" i="1"/>
  <c r="A102" i="1"/>
  <c r="I102" i="1"/>
  <c r="K102" i="1"/>
  <c r="A101" i="1"/>
  <c r="I101" i="1"/>
  <c r="K101" i="1"/>
  <c r="A100" i="1"/>
  <c r="I100" i="1"/>
  <c r="K100" i="1"/>
  <c r="A99" i="1"/>
  <c r="I99" i="1"/>
  <c r="K99" i="1"/>
  <c r="A98" i="1"/>
  <c r="I98" i="1"/>
  <c r="K98" i="1"/>
  <c r="A97" i="1"/>
  <c r="I97" i="1"/>
  <c r="K97" i="1"/>
  <c r="A96" i="1"/>
  <c r="I96" i="1"/>
  <c r="K96" i="1"/>
  <c r="A95" i="1"/>
  <c r="I95" i="1"/>
  <c r="K95" i="1"/>
  <c r="A94" i="1"/>
  <c r="I94" i="1"/>
  <c r="K94" i="1"/>
  <c r="A93" i="1"/>
  <c r="I93" i="1"/>
  <c r="K93" i="1"/>
  <c r="A92" i="1"/>
  <c r="I92" i="1"/>
  <c r="K92" i="1"/>
  <c r="A91" i="1"/>
  <c r="I91" i="1"/>
  <c r="K91" i="1"/>
  <c r="A90" i="1"/>
  <c r="I90" i="1"/>
  <c r="K90" i="1"/>
  <c r="A89" i="1"/>
  <c r="I89" i="1"/>
  <c r="K89" i="1"/>
  <c r="O231" i="1"/>
  <c r="A88" i="1"/>
  <c r="I88" i="1"/>
  <c r="K88" i="1"/>
  <c r="A87" i="1"/>
  <c r="I87" i="1"/>
  <c r="K87" i="1"/>
  <c r="A86" i="1"/>
  <c r="I86" i="1"/>
  <c r="K86" i="1"/>
  <c r="A85" i="1"/>
  <c r="I85" i="1"/>
  <c r="K85" i="1"/>
  <c r="A84" i="1"/>
  <c r="I84" i="1"/>
  <c r="K84" i="1"/>
  <c r="A83" i="1"/>
  <c r="I83" i="1"/>
  <c r="K83" i="1"/>
  <c r="A82" i="1"/>
  <c r="I82" i="1"/>
  <c r="K82" i="1"/>
  <c r="A81" i="1"/>
  <c r="I81" i="1"/>
  <c r="K81" i="1"/>
  <c r="A80" i="1"/>
  <c r="I80" i="1"/>
  <c r="K80" i="1"/>
  <c r="A79" i="1"/>
  <c r="I79" i="1"/>
  <c r="K79" i="1"/>
  <c r="A78" i="1"/>
  <c r="I78" i="1"/>
  <c r="K78" i="1"/>
  <c r="A77" i="1"/>
  <c r="I77" i="1"/>
  <c r="K77" i="1"/>
  <c r="A76" i="1"/>
  <c r="I76" i="1"/>
  <c r="K76" i="1"/>
  <c r="A75" i="1"/>
  <c r="I75" i="1"/>
  <c r="K75" i="1"/>
  <c r="A74" i="1"/>
  <c r="I74" i="1"/>
  <c r="K74" i="1"/>
  <c r="A73" i="1"/>
  <c r="I73" i="1"/>
  <c r="K73" i="1"/>
  <c r="A72" i="1"/>
  <c r="I72" i="1"/>
  <c r="K72" i="1"/>
  <c r="N231" i="1"/>
  <c r="M231" i="1"/>
  <c r="A71" i="1"/>
  <c r="I71" i="1"/>
  <c r="K71" i="1"/>
  <c r="A70" i="1"/>
  <c r="I70" i="1"/>
  <c r="K70" i="1"/>
  <c r="A69" i="1"/>
  <c r="I69" i="1"/>
  <c r="K69" i="1"/>
  <c r="X231" i="1"/>
  <c r="V231" i="1"/>
  <c r="A68" i="1"/>
  <c r="I68" i="1"/>
  <c r="K68" i="1"/>
  <c r="A67" i="1"/>
  <c r="I67" i="1"/>
  <c r="K67" i="1"/>
  <c r="A63" i="1"/>
  <c r="I63" i="1"/>
  <c r="K63" i="1"/>
  <c r="A64" i="1"/>
  <c r="I64" i="1"/>
  <c r="K64" i="1"/>
  <c r="A65" i="1"/>
  <c r="I65" i="1"/>
  <c r="K65" i="1"/>
  <c r="A66" i="1"/>
  <c r="I66" i="1"/>
  <c r="K66" i="1"/>
  <c r="A62" i="1"/>
  <c r="I62" i="1"/>
  <c r="K62" i="1"/>
  <c r="A61" i="1"/>
  <c r="I61" i="1"/>
  <c r="K61" i="1"/>
  <c r="A60" i="1"/>
  <c r="I60" i="1"/>
  <c r="K60" i="1"/>
  <c r="A59" i="1"/>
  <c r="I59" i="1"/>
  <c r="K59" i="1"/>
  <c r="U231" i="1"/>
  <c r="T231" i="1"/>
  <c r="A48" i="1"/>
  <c r="I48" i="1"/>
  <c r="K48" i="1"/>
  <c r="A49" i="1"/>
  <c r="I49" i="1"/>
  <c r="K49" i="1"/>
  <c r="A50" i="1"/>
  <c r="I50" i="1"/>
  <c r="K50" i="1"/>
  <c r="A51" i="1"/>
  <c r="I51" i="1"/>
  <c r="K51" i="1"/>
  <c r="A52" i="1"/>
  <c r="I52" i="1"/>
  <c r="K52" i="1"/>
  <c r="A53" i="1"/>
  <c r="I53" i="1"/>
  <c r="K53" i="1"/>
  <c r="A54" i="1"/>
  <c r="I54" i="1"/>
  <c r="K54" i="1"/>
  <c r="A55" i="1"/>
  <c r="I55" i="1"/>
  <c r="K55" i="1"/>
  <c r="A56" i="1"/>
  <c r="I56" i="1"/>
  <c r="K56" i="1"/>
  <c r="A57" i="1"/>
  <c r="I57" i="1"/>
  <c r="K57" i="1"/>
  <c r="A58" i="1"/>
  <c r="I58" i="1"/>
  <c r="K58" i="1"/>
  <c r="A47" i="1"/>
  <c r="I47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Y231" i="1"/>
  <c r="A46" i="1"/>
  <c r="I46" i="1"/>
  <c r="H231" i="1"/>
  <c r="S231" i="1"/>
  <c r="A45" i="1"/>
  <c r="I45" i="1"/>
  <c r="A44" i="1"/>
  <c r="I44" i="1"/>
  <c r="A42" i="1"/>
  <c r="A43" i="1"/>
  <c r="I43" i="1"/>
  <c r="R231" i="1"/>
  <c r="Q231" i="1"/>
  <c r="P231" i="1"/>
  <c r="L231" i="1"/>
  <c r="A41" i="1"/>
  <c r="I41" i="1"/>
  <c r="J231" i="1"/>
  <c r="G231" i="1"/>
  <c r="F231" i="1"/>
  <c r="E231" i="1"/>
  <c r="A40" i="1"/>
  <c r="I40" i="1"/>
  <c r="A39" i="1"/>
  <c r="I39" i="1"/>
  <c r="A38" i="1"/>
  <c r="I38" i="1"/>
  <c r="A37" i="1"/>
  <c r="I3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2" i="1"/>
  <c r="A3" i="1"/>
  <c r="A4" i="1"/>
  <c r="A5" i="1"/>
  <c r="A6" i="1"/>
  <c r="A7" i="1"/>
  <c r="K231" i="1" l="1"/>
  <c r="I231" i="1"/>
</calcChain>
</file>

<file path=xl/sharedStrings.xml><?xml version="1.0" encoding="utf-8"?>
<sst xmlns="http://schemas.openxmlformats.org/spreadsheetml/2006/main" count="777" uniqueCount="96">
  <si>
    <t>Match nº</t>
  </si>
  <si>
    <t>Mapa</t>
  </si>
  <si>
    <t>Placar</t>
  </si>
  <si>
    <t>Resultado</t>
  </si>
  <si>
    <t>K</t>
  </si>
  <si>
    <t>D</t>
  </si>
  <si>
    <t>A</t>
  </si>
  <si>
    <t>PTS</t>
  </si>
  <si>
    <t>Amigos</t>
  </si>
  <si>
    <t>INFERNO</t>
  </si>
  <si>
    <t>NUKE</t>
  </si>
  <si>
    <t>DUST II</t>
  </si>
  <si>
    <t>L</t>
  </si>
  <si>
    <t>W</t>
  </si>
  <si>
    <t>MIRAGE</t>
  </si>
  <si>
    <t>12x16</t>
  </si>
  <si>
    <t>13x10</t>
  </si>
  <si>
    <t>11x13</t>
  </si>
  <si>
    <t>13x4</t>
  </si>
  <si>
    <t>13x11</t>
  </si>
  <si>
    <t>13x9</t>
  </si>
  <si>
    <t>13x3</t>
  </si>
  <si>
    <t>Place (PTS)</t>
  </si>
  <si>
    <t>7x13</t>
  </si>
  <si>
    <t>0x6</t>
  </si>
  <si>
    <t>*Forfeit</t>
  </si>
  <si>
    <t>*OT</t>
  </si>
  <si>
    <t>9x13</t>
  </si>
  <si>
    <t>ANUBIS</t>
  </si>
  <si>
    <t>15x15</t>
  </si>
  <si>
    <t>13x7</t>
  </si>
  <si>
    <t>13x6</t>
  </si>
  <si>
    <t>OVERPASS</t>
  </si>
  <si>
    <t>10x13</t>
  </si>
  <si>
    <t>14x16</t>
  </si>
  <si>
    <t>HAMMER</t>
  </si>
  <si>
    <t>LEO</t>
  </si>
  <si>
    <t>PILOTO WILLY</t>
  </si>
  <si>
    <t>LAKES</t>
  </si>
  <si>
    <t>MANZA</t>
  </si>
  <si>
    <t>VAQUEIRO</t>
  </si>
  <si>
    <t>Rótulos de Linha</t>
  </si>
  <si>
    <t>Total Geral</t>
  </si>
  <si>
    <t>Contagem de Mapa</t>
  </si>
  <si>
    <t>13x1</t>
  </si>
  <si>
    <t>KDR</t>
  </si>
  <si>
    <t>6x13</t>
  </si>
  <si>
    <t>2x13</t>
  </si>
  <si>
    <t>ANCIENT</t>
  </si>
  <si>
    <t>13x2</t>
  </si>
  <si>
    <t>Total</t>
  </si>
  <si>
    <t>0X1</t>
  </si>
  <si>
    <t>*FF no warmup</t>
  </si>
  <si>
    <t>GABEN</t>
  </si>
  <si>
    <t>5x12</t>
  </si>
  <si>
    <t>MODS</t>
  </si>
  <si>
    <t>FREZA</t>
  </si>
  <si>
    <t>13x8</t>
  </si>
  <si>
    <t>*ot</t>
  </si>
  <si>
    <t>ARAGON</t>
  </si>
  <si>
    <t>BRUNOMS25</t>
  </si>
  <si>
    <t>5x13</t>
  </si>
  <si>
    <t xml:space="preserve"> </t>
  </si>
  <si>
    <t>3x13</t>
  </si>
  <si>
    <t>8x13</t>
  </si>
  <si>
    <t>NOT</t>
  </si>
  <si>
    <t>13x5</t>
  </si>
  <si>
    <t>ANGELZERA</t>
  </si>
  <si>
    <t>JÃO</t>
  </si>
  <si>
    <t>Contagem de Match nº</t>
  </si>
  <si>
    <t>Rótulos de Coluna</t>
  </si>
  <si>
    <t xml:space="preserve">    </t>
  </si>
  <si>
    <t>10x2</t>
  </si>
  <si>
    <t>*FF</t>
  </si>
  <si>
    <t>16x14</t>
  </si>
  <si>
    <t>BELLONES</t>
  </si>
  <si>
    <t>AUGUSTO</t>
  </si>
  <si>
    <t>ERROR</t>
  </si>
  <si>
    <t>1x13</t>
  </si>
  <si>
    <t>Valores</t>
  </si>
  <si>
    <t>Soma de HAMMER</t>
  </si>
  <si>
    <t>Soma de PILOTO WILLY</t>
  </si>
  <si>
    <t>Soma de LEO</t>
  </si>
  <si>
    <t>Soma de LAKES</t>
  </si>
  <si>
    <t>Soma de JÃO</t>
  </si>
  <si>
    <t>16x12</t>
  </si>
  <si>
    <t>SRX</t>
  </si>
  <si>
    <t>Soma de NOT</t>
  </si>
  <si>
    <t>13x16</t>
  </si>
  <si>
    <t>*Cheater - kickado e depois enganados pelo time adv</t>
  </si>
  <si>
    <t>12x3</t>
  </si>
  <si>
    <t>NAKAI</t>
  </si>
  <si>
    <t>ERIC</t>
  </si>
  <si>
    <t>4x13</t>
  </si>
  <si>
    <t>5X13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</si>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</sst>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7" fontId="0" fillId="0" borderId="0" xfId="0" quotePrefix="1" applyNumberFormat="1"/>
    <xf numFmtId="0" fontId="0" fillId="0" borderId="0" xfId="0" quotePrefix="1"/>
    <xf numFmtId="1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2" borderId="0" xfId="0" applyNumberFormat="1" applyFill="1" applyAlignment="1">
      <alignment horizontal="center"/>
    </xf>
    <xf numFmtId="9" fontId="0" fillId="0" borderId="0" xfId="1" applyFont="1"/>
    <xf numFmtId="0" fontId="0" fillId="0" borderId="0" xfId="0" applyAlignment="1">
      <alignment horizontal="right"/>
    </xf>
    <xf numFmtId="0" fontId="0" fillId="0" borderId="0" xfId="0" applyNumberFormat="1"/>
  </cellXfs>
  <cellStyles count="2">
    <cellStyle name="Normal" xfId="0" builtinId="0"/>
    <cellStyle name="Porcentagem" xfId="1" builtinId="5"/>
  </cellStyles>
  <dxfs count="72">
    <dxf>
      <fill>
        <patternFill>
          <bgColor rgb="FF0070C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alignment horizontal="right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P" refreshedDate="46187.547921990743" createdVersion="8" refreshedVersion="8" minRefreshableVersion="3" recordCount="202" xr:uid="{5C7AFDAE-8CA9-446E-B2A8-E8EA96A14428}">
  <cacheSource type="worksheet">
    <worksheetSource name="Tabela1"/>
  </cacheSource>
  <cacheFields count="31">
    <cacheField name="Match nº" numFmtId="0">
      <sharedItems containsSemiMixedTypes="0" containsString="0" containsNumber="1" containsInteger="1" minValue="1" maxValue="202"/>
    </cacheField>
    <cacheField name="Mapa" numFmtId="0">
      <sharedItems/>
    </cacheField>
    <cacheField name="Placar" numFmtId="0">
      <sharedItems/>
    </cacheField>
    <cacheField name="Resultado" numFmtId="0">
      <sharedItems containsBlank="1" count="4">
        <s v="L"/>
        <s v="W"/>
        <s v="D"/>
        <m u="1"/>
      </sharedItems>
    </cacheField>
    <cacheField name="K" numFmtId="0">
      <sharedItems containsSemiMixedTypes="0" containsString="0" containsNumber="1" containsInteger="1" minValue="0" maxValue="37"/>
    </cacheField>
    <cacheField name="D" numFmtId="0">
      <sharedItems containsSemiMixedTypes="0" containsString="0" containsNumber="1" containsInteger="1" minValue="0" maxValue="26"/>
    </cacheField>
    <cacheField name="A" numFmtId="0">
      <sharedItems containsSemiMixedTypes="0" containsString="0" containsNumber="1" containsInteger="1" minValue="0" maxValue="12"/>
    </cacheField>
    <cacheField name="PTS" numFmtId="0">
      <sharedItems containsSemiMixedTypes="0" containsString="0" containsNumber="1" containsInteger="1" minValue="0" maxValue="93"/>
    </cacheField>
    <cacheField name="KDR" numFmtId="2">
      <sharedItems containsSemiMixedTypes="0" containsString="0" containsNumber="1" minValue="0" maxValue="11"/>
    </cacheField>
    <cacheField name="Place (PTS)" numFmtId="0">
      <sharedItems containsSemiMixedTypes="0" containsString="0" containsNumber="1" containsInteger="1" minValue="1" maxValue="5"/>
    </cacheField>
    <cacheField name="Amigos" numFmtId="0">
      <sharedItems containsSemiMixedTypes="0" containsString="0" containsNumber="1" containsInteger="1" minValue="0" maxValue="4"/>
    </cacheField>
    <cacheField name="HAMMER" numFmtId="0">
      <sharedItems containsSemiMixedTypes="0" containsString="0" containsNumber="1" containsInteger="1" minValue="0" maxValue="1"/>
    </cacheField>
    <cacheField name="LEO" numFmtId="0">
      <sharedItems containsSemiMixedTypes="0" containsString="0" containsNumber="1" containsInteger="1" minValue="0" maxValue="1"/>
    </cacheField>
    <cacheField name="PILOTO WILLY" numFmtId="0">
      <sharedItems containsSemiMixedTypes="0" containsString="0" containsNumber="1" containsInteger="1" minValue="0" maxValue="1"/>
    </cacheField>
    <cacheField name="JÃO" numFmtId="0">
      <sharedItems containsSemiMixedTypes="0" containsString="0" containsNumber="1" containsInteger="1" minValue="0" maxValue="1"/>
    </cacheField>
    <cacheField name="LAKES" numFmtId="0">
      <sharedItems containsSemiMixedTypes="0" containsString="0" containsNumber="1" containsInteger="1" minValue="0" maxValue="1"/>
    </cacheField>
    <cacheField name="MANZA" numFmtId="0">
      <sharedItems containsSemiMixedTypes="0" containsString="0" containsNumber="1" containsInteger="1" minValue="0" maxValue="1"/>
    </cacheField>
    <cacheField name="VAQUEIRO" numFmtId="0">
      <sharedItems containsSemiMixedTypes="0" containsString="0" containsNumber="1" containsInteger="1" minValue="0" maxValue="1"/>
    </cacheField>
    <cacheField name="GABEN" numFmtId="0">
      <sharedItems containsSemiMixedTypes="0" containsString="0" containsNumber="1" containsInteger="1" minValue="0" maxValue="1"/>
    </cacheField>
    <cacheField name="ARAGON" numFmtId="0">
      <sharedItems containsSemiMixedTypes="0" containsString="0" containsNumber="1" containsInteger="1" minValue="0" maxValue="1"/>
    </cacheField>
    <cacheField name="BRUNOMS25" numFmtId="0">
      <sharedItems containsSemiMixedTypes="0" containsString="0" containsNumber="1" containsInteger="1" minValue="0" maxValue="1"/>
    </cacheField>
    <cacheField name="NOT" numFmtId="0">
      <sharedItems containsSemiMixedTypes="0" containsString="0" containsNumber="1" containsInteger="1" minValue="0" maxValue="1"/>
    </cacheField>
    <cacheField name="SRX" numFmtId="0">
      <sharedItems containsSemiMixedTypes="0" containsString="0" containsNumber="1" containsInteger="1" minValue="0" maxValue="1"/>
    </cacheField>
    <cacheField name="ANGELZERA" numFmtId="0">
      <sharedItems containsSemiMixedTypes="0" containsString="0" containsNumber="1" containsInteger="1" minValue="0" maxValue="1"/>
    </cacheField>
    <cacheField name="MODS" numFmtId="0">
      <sharedItems containsSemiMixedTypes="0" containsString="0" containsNumber="1" containsInteger="1" minValue="0" maxValue="1"/>
    </cacheField>
    <cacheField name="BELLONES" numFmtId="0">
      <sharedItems containsSemiMixedTypes="0" containsString="0" containsNumber="1" containsInteger="1" minValue="0" maxValue="1"/>
    </cacheField>
    <cacheField name="AUGUSTO" numFmtId="0">
      <sharedItems containsSemiMixedTypes="0" containsString="0" containsNumber="1" containsInteger="1" minValue="0" maxValue="1"/>
    </cacheField>
    <cacheField name="ERROR" numFmtId="0">
      <sharedItems containsSemiMixedTypes="0" containsString="0" containsNumber="1" containsInteger="1" minValue="0" maxValue="1"/>
    </cacheField>
    <cacheField name="NAKAI" numFmtId="0">
      <sharedItems containsSemiMixedTypes="0" containsString="0" containsNumber="1" containsInteger="1" minValue="0" maxValue="1"/>
    </cacheField>
    <cacheField name="ERIC" numFmtId="0">
      <sharedItems containsSemiMixedTypes="0" containsString="0" containsNumber="1" containsInteger="1" minValue="0" maxValue="1"/>
    </cacheField>
    <cacheField name="FREZA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P" refreshedDate="46193.655213541664" createdVersion="8" refreshedVersion="8" minRefreshableVersion="3" recordCount="223" xr:uid="{01A69717-6EAA-49D3-8F78-5331B73175BE}">
  <cacheSource type="worksheet">
    <worksheetSource name="Tabela1"/>
  </cacheSource>
  <cacheFields count="31">
    <cacheField name="Match nº" numFmtId="0">
      <sharedItems containsSemiMixedTypes="0" containsString="0" containsNumber="1" containsInteger="1" minValue="1" maxValue="223"/>
    </cacheField>
    <cacheField name="Mapa" numFmtId="0">
      <sharedItems containsBlank="1" count="8">
        <s v="INFERNO"/>
        <s v="NUKE"/>
        <s v="DUST II"/>
        <s v="MIRAGE"/>
        <s v="ANUBIS"/>
        <s v="OVERPASS"/>
        <s v="ANCIENT"/>
        <m/>
      </sharedItems>
    </cacheField>
    <cacheField name="Placar" numFmtId="0">
      <sharedItems containsBlank="1"/>
    </cacheField>
    <cacheField name="Resultado" numFmtId="0">
      <sharedItems containsBlank="1" count="4">
        <s v="L"/>
        <s v="W"/>
        <s v="D"/>
        <m/>
      </sharedItems>
    </cacheField>
    <cacheField name="K" numFmtId="0">
      <sharedItems containsString="0" containsBlank="1" containsNumber="1" containsInteger="1" minValue="0" maxValue="37"/>
    </cacheField>
    <cacheField name="D" numFmtId="0">
      <sharedItems containsString="0" containsBlank="1" containsNumber="1" containsInteger="1" minValue="0" maxValue="26"/>
    </cacheField>
    <cacheField name="A" numFmtId="0">
      <sharedItems containsString="0" containsBlank="1" containsNumber="1" containsInteger="1" minValue="0" maxValue="12"/>
    </cacheField>
    <cacheField name="PTS" numFmtId="0">
      <sharedItems containsString="0" containsBlank="1" containsNumber="1" containsInteger="1" minValue="0" maxValue="93"/>
    </cacheField>
    <cacheField name="KDR" numFmtId="2">
      <sharedItems containsMixedTypes="1" containsNumber="1" minValue="0" maxValue="11"/>
    </cacheField>
    <cacheField name="Place (PTS)" numFmtId="0">
      <sharedItems containsString="0" containsBlank="1" containsNumber="1" containsInteger="1" minValue="1" maxValue="5"/>
    </cacheField>
    <cacheField name="Amigos" numFmtId="0">
      <sharedItems containsSemiMixedTypes="0" containsString="0" containsNumber="1" containsInteger="1" minValue="0" maxValue="4"/>
    </cacheField>
    <cacheField name="HAMMER" numFmtId="0">
      <sharedItems containsString="0" containsBlank="1" containsNumber="1" containsInteger="1" minValue="0" maxValue="1"/>
    </cacheField>
    <cacheField name="LEO" numFmtId="0">
      <sharedItems containsString="0" containsBlank="1" containsNumber="1" containsInteger="1" minValue="0" maxValue="1"/>
    </cacheField>
    <cacheField name="PILOTO WILLY" numFmtId="0">
      <sharedItems containsString="0" containsBlank="1" containsNumber="1" containsInteger="1" minValue="0" maxValue="1"/>
    </cacheField>
    <cacheField name="JÃO" numFmtId="0">
      <sharedItems containsString="0" containsBlank="1" containsNumber="1" containsInteger="1" minValue="0" maxValue="1"/>
    </cacheField>
    <cacheField name="LAKES" numFmtId="0">
      <sharedItems containsString="0" containsBlank="1" containsNumber="1" containsInteger="1" minValue="0" maxValue="1"/>
    </cacheField>
    <cacheField name="MANZA" numFmtId="0">
      <sharedItems containsString="0" containsBlank="1" containsNumber="1" containsInteger="1" minValue="0" maxValue="1"/>
    </cacheField>
    <cacheField name="VAQUEIRO" numFmtId="0">
      <sharedItems containsString="0" containsBlank="1" containsNumber="1" containsInteger="1" minValue="0" maxValue="1"/>
    </cacheField>
    <cacheField name="GABEN" numFmtId="0">
      <sharedItems containsString="0" containsBlank="1" containsNumber="1" containsInteger="1" minValue="0" maxValue="1"/>
    </cacheField>
    <cacheField name="ARAGON" numFmtId="0">
      <sharedItems containsString="0" containsBlank="1" containsNumber="1" containsInteger="1" minValue="0" maxValue="1"/>
    </cacheField>
    <cacheField name="BRUNOMS25" numFmtId="0">
      <sharedItems containsString="0" containsBlank="1" containsNumber="1" containsInteger="1" minValue="0" maxValue="1"/>
    </cacheField>
    <cacheField name="NOT" numFmtId="0">
      <sharedItems containsString="0" containsBlank="1" containsNumber="1" containsInteger="1" minValue="0" maxValue="1"/>
    </cacheField>
    <cacheField name="SRX" numFmtId="0">
      <sharedItems containsString="0" containsBlank="1" containsNumber="1" containsInteger="1" minValue="0" maxValue="1"/>
    </cacheField>
    <cacheField name="ANGELZERA" numFmtId="0">
      <sharedItems containsString="0" containsBlank="1" containsNumber="1" containsInteger="1" minValue="0" maxValue="1"/>
    </cacheField>
    <cacheField name="MODS" numFmtId="0">
      <sharedItems containsString="0" containsBlank="1" containsNumber="1" containsInteger="1" minValue="0" maxValue="1"/>
    </cacheField>
    <cacheField name="BELLONES" numFmtId="0">
      <sharedItems containsString="0" containsBlank="1" containsNumber="1" containsInteger="1" minValue="0" maxValue="1"/>
    </cacheField>
    <cacheField name="AUGUSTO" numFmtId="0">
      <sharedItems containsString="0" containsBlank="1" containsNumber="1" containsInteger="1" minValue="0" maxValue="1"/>
    </cacheField>
    <cacheField name="ERROR" numFmtId="0">
      <sharedItems containsString="0" containsBlank="1" containsNumber="1" containsInteger="1" minValue="0" maxValue="1"/>
    </cacheField>
    <cacheField name="NAKAI" numFmtId="0">
      <sharedItems containsString="0" containsBlank="1" containsNumber="1" containsInteger="1" minValue="0" maxValue="1"/>
    </cacheField>
    <cacheField name="ERIC" numFmtId="0">
      <sharedItems containsString="0" containsBlank="1" containsNumber="1" containsInteger="1" minValue="0" maxValue="1"/>
    </cacheField>
    <cacheField name="FREZA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1"/>
    <s v="INFERNO"/>
    <s v="12x16"/>
    <x v="0"/>
    <n v="21"/>
    <n v="21"/>
    <n v="6"/>
    <n v="6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s v="NUKE"/>
    <s v="13x10"/>
    <x v="1"/>
    <n v="23"/>
    <n v="14"/>
    <n v="7"/>
    <n v="61"/>
    <n v="1.6428571428571428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3"/>
    <s v="INFERNO"/>
    <s v="11x13"/>
    <x v="0"/>
    <n v="22"/>
    <n v="21"/>
    <n v="12"/>
    <n v="63"/>
    <n v="1.0476190476190477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4"/>
    <s v="DUST II"/>
    <s v="13x4"/>
    <x v="1"/>
    <n v="20"/>
    <n v="8"/>
    <n v="4"/>
    <n v="48"/>
    <n v="2.5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5"/>
    <s v="NUKE"/>
    <s v="13x11"/>
    <x v="1"/>
    <n v="27"/>
    <n v="18"/>
    <n v="5"/>
    <n v="62"/>
    <n v="1.5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6"/>
    <s v="MIRAGE"/>
    <s v="13x9"/>
    <x v="1"/>
    <n v="10"/>
    <n v="14"/>
    <n v="8"/>
    <n v="35"/>
    <n v="0.714285714285714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"/>
    <s v="INFERNO"/>
    <s v="13x3"/>
    <x v="1"/>
    <n v="11"/>
    <n v="9"/>
    <n v="4"/>
    <n v="29"/>
    <n v="1.222222222222222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"/>
    <s v="MIRAGE"/>
    <s v="13x1"/>
    <x v="1"/>
    <n v="11"/>
    <n v="4"/>
    <n v="1"/>
    <n v="32"/>
    <n v="2.7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s v="MIRAGE"/>
    <s v="13x9"/>
    <x v="1"/>
    <n v="10"/>
    <n v="17"/>
    <n v="12"/>
    <n v="32"/>
    <n v="0.5882352941176470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"/>
    <s v="MIRAGE"/>
    <s v="13x11"/>
    <x v="1"/>
    <n v="14"/>
    <n v="15"/>
    <n v="8"/>
    <n v="43"/>
    <n v="0.9333333333333333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s v="NUKE"/>
    <s v="7x13"/>
    <x v="0"/>
    <n v="12"/>
    <n v="18"/>
    <n v="4"/>
    <n v="28"/>
    <n v="0.66666666666666663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"/>
    <s v="MIRAGE"/>
    <s v="0x6"/>
    <x v="0"/>
    <n v="2"/>
    <n v="5"/>
    <n v="2"/>
    <n v="6"/>
    <n v="0.4"/>
    <n v="3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s v="MIRAGE"/>
    <s v="13x10"/>
    <x v="1"/>
    <n v="30"/>
    <n v="16"/>
    <n v="5"/>
    <n v="67"/>
    <n v="1.875"/>
    <n v="1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14"/>
    <s v="INFERNO"/>
    <s v="14x16"/>
    <x v="0"/>
    <n v="30"/>
    <n v="25"/>
    <n v="12"/>
    <n v="76"/>
    <n v="1.2"/>
    <n v="1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15"/>
    <s v="NUKE"/>
    <s v="9x13"/>
    <x v="0"/>
    <n v="11"/>
    <n v="17"/>
    <n v="7"/>
    <n v="31"/>
    <n v="0.6470588235294118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"/>
    <s v="ANUBIS"/>
    <s v="11x13"/>
    <x v="0"/>
    <n v="19"/>
    <n v="18"/>
    <n v="4"/>
    <n v="49"/>
    <n v="1.0555555555555556"/>
    <n v="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7"/>
    <s v="MIRAGE"/>
    <s v="15x15"/>
    <x v="2"/>
    <n v="25"/>
    <n v="22"/>
    <n v="7"/>
    <n v="66"/>
    <n v="1.136363636363636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"/>
    <s v="INFERNO"/>
    <s v="13x9"/>
    <x v="1"/>
    <n v="26"/>
    <n v="13"/>
    <n v="4"/>
    <n v="6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"/>
    <s v="NUKE"/>
    <s v="13x7"/>
    <x v="1"/>
    <n v="19"/>
    <n v="12"/>
    <n v="3"/>
    <n v="47"/>
    <n v="1.583333333333333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"/>
    <s v="INFERNO"/>
    <s v="13x6"/>
    <x v="1"/>
    <n v="19"/>
    <n v="9"/>
    <n v="4"/>
    <n v="55"/>
    <n v="2.1111111111111112"/>
    <n v="2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21"/>
    <s v="NUKE"/>
    <s v="13x9"/>
    <x v="1"/>
    <n v="18"/>
    <n v="14"/>
    <n v="3"/>
    <n v="44"/>
    <n v="1.2857142857142858"/>
    <n v="1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22"/>
    <s v="MIRAGE"/>
    <s v="13x10"/>
    <x v="1"/>
    <n v="30"/>
    <n v="14"/>
    <n v="4"/>
    <n v="68"/>
    <n v="2.1428571428571428"/>
    <n v="1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23"/>
    <s v="INFERNO"/>
    <s v="7x13"/>
    <x v="0"/>
    <n v="6"/>
    <n v="16"/>
    <n v="2"/>
    <n v="14"/>
    <n v="0.375"/>
    <n v="5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24"/>
    <s v="INFERNO"/>
    <s v="13x10"/>
    <x v="1"/>
    <n v="23"/>
    <n v="16"/>
    <n v="1"/>
    <n v="53"/>
    <n v="1.4375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5"/>
    <s v="MIRAGE"/>
    <s v="11x13"/>
    <x v="0"/>
    <n v="14"/>
    <n v="17"/>
    <n v="8"/>
    <n v="42"/>
    <n v="0.82352941176470584"/>
    <n v="4"/>
    <n v="3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n v="26"/>
    <s v="OVERPASS"/>
    <s v="12x16"/>
    <x v="0"/>
    <n v="22"/>
    <n v="21"/>
    <n v="3"/>
    <n v="61"/>
    <n v="1.0476190476190477"/>
    <n v="1"/>
    <n v="4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n v="27"/>
    <s v="INFERNO"/>
    <s v="10x13"/>
    <x v="0"/>
    <n v="14"/>
    <n v="18"/>
    <n v="6"/>
    <n v="38"/>
    <n v="0.77777777777777779"/>
    <n v="4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8"/>
    <s v="MIRAGE"/>
    <s v="13x9"/>
    <x v="1"/>
    <n v="13"/>
    <n v="17"/>
    <n v="11"/>
    <n v="43"/>
    <n v="0.76470588235294112"/>
    <n v="4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9"/>
    <s v="MIRAGE"/>
    <s v="13x6"/>
    <x v="1"/>
    <n v="11"/>
    <n v="12"/>
    <n v="6"/>
    <n v="34"/>
    <n v="0.91666666666666663"/>
    <n v="3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0"/>
    <s v="MIRAGE"/>
    <s v="13x6"/>
    <x v="1"/>
    <n v="20"/>
    <n v="12"/>
    <n v="2"/>
    <n v="54"/>
    <n v="1.6666666666666667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1"/>
    <s v="OVERPASS"/>
    <s v="9x13"/>
    <x v="0"/>
    <n v="24"/>
    <n v="15"/>
    <n v="5"/>
    <n v="61"/>
    <n v="1.6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"/>
    <s v="MIRAGE"/>
    <s v="13x11"/>
    <x v="1"/>
    <n v="23"/>
    <n v="17"/>
    <n v="3"/>
    <n v="52"/>
    <n v="1.3529411764705883"/>
    <n v="2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"/>
    <s v="INFERNO"/>
    <s v="9x13"/>
    <x v="0"/>
    <n v="15"/>
    <n v="15"/>
    <n v="6"/>
    <n v="43"/>
    <n v="1"/>
    <n v="2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34"/>
    <s v="NUKE"/>
    <s v="9x13"/>
    <x v="0"/>
    <n v="19"/>
    <n v="15"/>
    <n v="1"/>
    <n v="41"/>
    <n v="1.2666666666666666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"/>
    <s v="DUST II"/>
    <s v="10x13"/>
    <x v="0"/>
    <n v="11"/>
    <n v="16"/>
    <n v="5"/>
    <n v="32"/>
    <n v="0.687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"/>
    <s v="INFERNO"/>
    <s v="6x13"/>
    <x v="0"/>
    <n v="18"/>
    <n v="17"/>
    <n v="3"/>
    <n v="44"/>
    <n v="1.058823529411764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7"/>
    <s v="MIRAGE"/>
    <s v="2x13"/>
    <x v="0"/>
    <n v="10"/>
    <n v="13"/>
    <n v="2"/>
    <n v="22"/>
    <n v="0.7692307692307692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8"/>
    <s v="ANCIENT"/>
    <s v="13x10"/>
    <x v="1"/>
    <n v="22"/>
    <n v="14"/>
    <n v="4"/>
    <n v="55"/>
    <n v="1.571428571428571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9"/>
    <s v="OVERPASS"/>
    <s v="13x2"/>
    <x v="1"/>
    <n v="19"/>
    <n v="10"/>
    <n v="3"/>
    <n v="42"/>
    <n v="1.9"/>
    <n v="2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40"/>
    <s v="OVERPASS"/>
    <s v="13x1"/>
    <x v="1"/>
    <n v="22"/>
    <n v="5"/>
    <n v="3"/>
    <n v="46"/>
    <n v="4.4000000000000004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41"/>
    <s v="INFERNO"/>
    <s v="0X1"/>
    <x v="0"/>
    <n v="0"/>
    <n v="0"/>
    <n v="0"/>
    <n v="0"/>
    <n v="1"/>
    <n v="3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42"/>
    <s v="MIRAGE"/>
    <s v="13x1"/>
    <x v="1"/>
    <n v="18"/>
    <n v="8"/>
    <n v="5"/>
    <n v="39"/>
    <n v="2.25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43"/>
    <s v="MIRAGE"/>
    <s v="5x12"/>
    <x v="0"/>
    <n v="10"/>
    <n v="15"/>
    <n v="4"/>
    <n v="26"/>
    <n v="0.66666666666666663"/>
    <n v="2"/>
    <n v="2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n v="44"/>
    <s v="NUKE"/>
    <s v="11x13"/>
    <x v="0"/>
    <n v="23"/>
    <n v="16"/>
    <n v="4"/>
    <n v="55"/>
    <n v="1.4375"/>
    <n v="2"/>
    <n v="2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n v="45"/>
    <s v="ANUBIS"/>
    <s v="13x11"/>
    <x v="1"/>
    <n v="23"/>
    <n v="17"/>
    <n v="2"/>
    <n v="52"/>
    <n v="1.3529411764705883"/>
    <n v="2"/>
    <n v="3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0"/>
    <n v="0"/>
  </r>
  <r>
    <n v="46"/>
    <s v="INFERNO"/>
    <s v="9x13"/>
    <x v="0"/>
    <n v="16"/>
    <n v="17"/>
    <n v="2"/>
    <n v="44"/>
    <n v="0.94117647058823528"/>
    <n v="2"/>
    <n v="4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0"/>
    <n v="1"/>
  </r>
  <r>
    <n v="47"/>
    <s v="MIRAGE"/>
    <s v="13x8"/>
    <x v="1"/>
    <n v="15"/>
    <n v="15"/>
    <n v="7"/>
    <n v="38"/>
    <n v="1"/>
    <n v="4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8"/>
    <s v="MIRAGE"/>
    <s v="12x16"/>
    <x v="0"/>
    <n v="17"/>
    <n v="22"/>
    <n v="2"/>
    <n v="37"/>
    <n v="0.77272727272727271"/>
    <n v="3"/>
    <n v="4"/>
    <n v="1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</r>
  <r>
    <n v="49"/>
    <s v="INFERNO"/>
    <s v="13x1"/>
    <x v="1"/>
    <n v="22"/>
    <n v="2"/>
    <n v="7"/>
    <n v="58"/>
    <n v="11"/>
    <n v="1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n v="50"/>
    <s v="MIRAGE"/>
    <s v="5x13"/>
    <x v="0"/>
    <n v="10"/>
    <n v="14"/>
    <n v="6"/>
    <n v="30"/>
    <n v="0.7142857142857143"/>
    <n v="2"/>
    <n v="4"/>
    <n v="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</r>
  <r>
    <n v="51"/>
    <s v="MIRAGE"/>
    <s v="11x13"/>
    <x v="0"/>
    <n v="13"/>
    <n v="20"/>
    <n v="7"/>
    <n v="43"/>
    <n v="0.65"/>
    <n v="3"/>
    <n v="4"/>
    <n v="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</r>
  <r>
    <n v="52"/>
    <s v="NUKE"/>
    <s v="9x13"/>
    <x v="0"/>
    <n v="20"/>
    <n v="16"/>
    <n v="4"/>
    <n v="49"/>
    <n v="1.25"/>
    <n v="1"/>
    <n v="4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53"/>
    <s v="ANUBIS"/>
    <s v="13x11"/>
    <x v="1"/>
    <n v="31"/>
    <n v="17"/>
    <n v="3"/>
    <n v="68"/>
    <n v="1.8235294117647058"/>
    <n v="1"/>
    <n v="4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54"/>
    <s v="INFERNO"/>
    <s v="11x13"/>
    <x v="0"/>
    <n v="22"/>
    <n v="19"/>
    <n v="6"/>
    <n v="58"/>
    <n v="1.1578947368421053"/>
    <n v="1"/>
    <n v="4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55"/>
    <s v="MIRAGE"/>
    <s v="9x13"/>
    <x v="0"/>
    <n v="17"/>
    <n v="18"/>
    <n v="4"/>
    <n v="42"/>
    <n v="0.94444444444444442"/>
    <n v="2"/>
    <n v="4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56"/>
    <s v="INFERNO"/>
    <s v="3x13"/>
    <x v="0"/>
    <n v="7"/>
    <n v="15"/>
    <n v="2"/>
    <n v="16"/>
    <n v="0.46666666666666667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7"/>
    <s v="ANUBIS"/>
    <s v="11x13"/>
    <x v="0"/>
    <n v="23"/>
    <n v="18"/>
    <n v="4"/>
    <n v="58"/>
    <n v="1.2777777777777777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58"/>
    <s v="NUKE"/>
    <s v="8x13"/>
    <x v="0"/>
    <n v="19"/>
    <n v="16"/>
    <n v="3"/>
    <n v="51"/>
    <n v="1.1875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59"/>
    <s v="MIRAGE"/>
    <s v="6x13"/>
    <x v="0"/>
    <n v="21"/>
    <n v="14"/>
    <n v="4"/>
    <n v="46"/>
    <n v="1.5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0"/>
    <s v="INFERNO"/>
    <s v="13x9"/>
    <x v="1"/>
    <n v="13"/>
    <n v="15"/>
    <n v="2"/>
    <n v="41"/>
    <n v="0.8666666666666667"/>
    <n v="3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1"/>
    <s v="ANUBIS"/>
    <s v="12x16"/>
    <x v="0"/>
    <n v="25"/>
    <n v="23"/>
    <n v="7"/>
    <n v="64"/>
    <n v="1.0869565217391304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2"/>
    <s v="MIRAGE"/>
    <s v="8x13"/>
    <x v="0"/>
    <n v="14"/>
    <n v="17"/>
    <n v="3"/>
    <n v="31"/>
    <n v="0.82352941176470584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3"/>
    <s v="OVERPASS"/>
    <s v="13x4"/>
    <x v="1"/>
    <n v="14"/>
    <n v="10"/>
    <n v="3"/>
    <n v="29"/>
    <n v="1.4"/>
    <n v="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"/>
    <s v="INFERNO"/>
    <s v="11x13"/>
    <x v="0"/>
    <n v="15"/>
    <n v="18"/>
    <n v="5"/>
    <n v="47"/>
    <n v="0.83333333333333337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65"/>
    <s v="NUKE"/>
    <s v="13x5"/>
    <x v="1"/>
    <n v="16"/>
    <n v="10"/>
    <n v="4"/>
    <n v="44"/>
    <n v="1.6"/>
    <n v="2"/>
    <n v="3"/>
    <n v="0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66"/>
    <s v="MIRAGE"/>
    <s v="10x13"/>
    <x v="0"/>
    <n v="11"/>
    <n v="21"/>
    <n v="4"/>
    <n v="30"/>
    <n v="0.52380952380952384"/>
    <n v="5"/>
    <n v="3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0"/>
  </r>
  <r>
    <n v="67"/>
    <s v="MIRAGE"/>
    <s v="14x16"/>
    <x v="0"/>
    <n v="17"/>
    <n v="24"/>
    <n v="5"/>
    <n v="42"/>
    <n v="0.70833333333333337"/>
    <n v="5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68"/>
    <s v="INFERNO"/>
    <s v="6x13"/>
    <x v="0"/>
    <n v="10"/>
    <n v="17"/>
    <n v="3"/>
    <n v="22"/>
    <n v="0.58823529411764708"/>
    <n v="5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69"/>
    <s v="INFERNO"/>
    <s v="13x9"/>
    <x v="1"/>
    <n v="20"/>
    <n v="14"/>
    <n v="4"/>
    <n v="52"/>
    <n v="1.4285714285714286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0"/>
    <s v="OVERPASS"/>
    <s v="13x9"/>
    <x v="1"/>
    <n v="18"/>
    <n v="11"/>
    <n v="4"/>
    <n v="48"/>
    <n v="1.6363636363636365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1"/>
    <s v="ANUBIS"/>
    <s v="13x9"/>
    <x v="1"/>
    <n v="15"/>
    <n v="14"/>
    <n v="1"/>
    <n v="52"/>
    <n v="1.0714285714285714"/>
    <n v="2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72"/>
    <s v="OVERPASS"/>
    <s v="10x13"/>
    <x v="0"/>
    <n v="12"/>
    <n v="16"/>
    <n v="0"/>
    <n v="33"/>
    <n v="0.75"/>
    <n v="3"/>
    <n v="4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n v="73"/>
    <s v="ANUBIS"/>
    <s v="13x9"/>
    <x v="1"/>
    <n v="24"/>
    <n v="16"/>
    <n v="4"/>
    <n v="58"/>
    <n v="1.5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4"/>
    <s v="OVERPASS"/>
    <s v="15x15"/>
    <x v="2"/>
    <n v="32"/>
    <n v="21"/>
    <n v="4"/>
    <n v="83"/>
    <n v="1.5238095238095237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5"/>
    <s v="MIRAGE"/>
    <s v="5x13"/>
    <x v="0"/>
    <n v="13"/>
    <n v="15"/>
    <n v="1"/>
    <n v="35"/>
    <n v="0.8666666666666667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6"/>
    <s v="OVERPASS"/>
    <s v="13x9"/>
    <x v="1"/>
    <n v="18"/>
    <n v="17"/>
    <n v="6"/>
    <n v="44"/>
    <n v="1.0588235294117647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7"/>
    <s v="INFERNO"/>
    <s v="11x13"/>
    <x v="0"/>
    <n v="17"/>
    <n v="20"/>
    <n v="4"/>
    <n v="43"/>
    <n v="0.85"/>
    <n v="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8"/>
    <s v="DUST II"/>
    <s v="8x13"/>
    <x v="0"/>
    <n v="8"/>
    <n v="15"/>
    <n v="5"/>
    <n v="25"/>
    <n v="0.53333333333333333"/>
    <n v="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9"/>
    <s v="INFERNO"/>
    <s v="11x13"/>
    <x v="0"/>
    <n v="20"/>
    <n v="16"/>
    <n v="7"/>
    <n v="54"/>
    <n v="1.25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0"/>
    <s v="ANUBIS"/>
    <s v="7x13"/>
    <x v="0"/>
    <n v="16"/>
    <n v="18"/>
    <n v="2"/>
    <n v="40"/>
    <n v="0.88888888888888884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1"/>
    <s v="MIRAGE"/>
    <s v="13x9"/>
    <x v="1"/>
    <n v="17"/>
    <n v="15"/>
    <n v="4"/>
    <n v="41"/>
    <n v="1.1333333333333333"/>
    <n v="2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2"/>
    <s v="OVERPASS"/>
    <s v="14x16"/>
    <x v="0"/>
    <n v="13"/>
    <n v="25"/>
    <n v="12"/>
    <n v="47"/>
    <n v="0.52"/>
    <n v="5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3"/>
    <s v="MIRAGE"/>
    <s v="13x2"/>
    <x v="1"/>
    <n v="17"/>
    <n v="4"/>
    <n v="2"/>
    <n v="36"/>
    <n v="4.25"/>
    <n v="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"/>
    <s v="INFERNO"/>
    <s v="3x13"/>
    <x v="0"/>
    <n v="8"/>
    <n v="15"/>
    <n v="3"/>
    <n v="20"/>
    <n v="0.53333333333333333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5"/>
    <s v="ANCIENT"/>
    <s v="8x13"/>
    <x v="0"/>
    <n v="20"/>
    <n v="17"/>
    <n v="4"/>
    <n v="49"/>
    <n v="1.1764705882352942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6"/>
    <s v="NUKE"/>
    <s v="13x6"/>
    <x v="1"/>
    <n v="12"/>
    <n v="12"/>
    <n v="6"/>
    <n v="34"/>
    <n v="1"/>
    <n v="4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7"/>
    <s v="ANCIENT"/>
    <s v="13x1"/>
    <x v="1"/>
    <n v="12"/>
    <n v="7"/>
    <n v="5"/>
    <n v="36"/>
    <n v="1.7142857142857142"/>
    <n v="3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8"/>
    <s v="OVERPASS"/>
    <s v="13x10"/>
    <x v="1"/>
    <n v="27"/>
    <n v="13"/>
    <n v="3"/>
    <n v="70"/>
    <n v="2.0769230769230771"/>
    <n v="1"/>
    <n v="4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89"/>
    <s v="NUKE"/>
    <s v="13x4"/>
    <x v="1"/>
    <n v="22"/>
    <n v="9"/>
    <n v="4"/>
    <n v="55"/>
    <n v="2.4444444444444446"/>
    <n v="1"/>
    <n v="4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90"/>
    <s v="MIRAGE"/>
    <s v="13x1"/>
    <x v="1"/>
    <n v="21"/>
    <n v="3"/>
    <n v="3"/>
    <n v="47"/>
    <n v="7"/>
    <n v="1"/>
    <n v="4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91"/>
    <s v="ANCIENT"/>
    <s v="13x7"/>
    <x v="1"/>
    <n v="20"/>
    <n v="10"/>
    <n v="4"/>
    <n v="57"/>
    <n v="2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2"/>
    <s v="MIRAGE"/>
    <s v="13x11"/>
    <x v="1"/>
    <n v="14"/>
    <n v="19"/>
    <n v="8"/>
    <n v="49"/>
    <n v="0.73684210526315785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3"/>
    <s v="NUKE"/>
    <s v="15x15"/>
    <x v="2"/>
    <n v="26"/>
    <n v="17"/>
    <n v="9"/>
    <n v="69"/>
    <n v="1.5294117647058822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4"/>
    <s v="OVERPASS"/>
    <s v="13x8"/>
    <x v="1"/>
    <n v="17"/>
    <n v="13"/>
    <n v="4"/>
    <n v="43"/>
    <n v="1.3076923076923077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5"/>
    <s v="OVERPASS"/>
    <s v="15x15"/>
    <x v="2"/>
    <n v="35"/>
    <n v="26"/>
    <n v="6"/>
    <n v="88"/>
    <n v="1.3461538461538463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6"/>
    <s v="ANUBIS"/>
    <s v="13x10"/>
    <x v="1"/>
    <n v="20"/>
    <n v="14"/>
    <n v="4"/>
    <n v="64"/>
    <n v="1.4285714285714286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7"/>
    <s v="INFERNO"/>
    <s v="6x13"/>
    <x v="0"/>
    <n v="13"/>
    <n v="18"/>
    <n v="5"/>
    <n v="30"/>
    <n v="0.72222222222222221"/>
    <n v="4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8"/>
    <s v="DUST II"/>
    <s v="13x11"/>
    <x v="1"/>
    <n v="27"/>
    <n v="19"/>
    <n v="5"/>
    <n v="64"/>
    <n v="1.4210526315789473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9"/>
    <s v="DUST II"/>
    <s v="13x6"/>
    <x v="1"/>
    <n v="18"/>
    <n v="11"/>
    <n v="5"/>
    <n v="51"/>
    <n v="1.6363636363636365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0"/>
    <s v="OVERPASS"/>
    <s v="3x13"/>
    <x v="0"/>
    <n v="14"/>
    <n v="13"/>
    <n v="3"/>
    <n v="33"/>
    <n v="1.0769230769230769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1"/>
    <s v="ANUBIS"/>
    <s v="10x2"/>
    <x v="1"/>
    <n v="12"/>
    <n v="6"/>
    <n v="1"/>
    <n v="25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2"/>
    <s v="MIRAGE"/>
    <s v="16x14"/>
    <x v="1"/>
    <n v="24"/>
    <n v="15"/>
    <n v="2"/>
    <n v="66"/>
    <n v="1.6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3"/>
    <s v="OVERPASS"/>
    <s v="13x7"/>
    <x v="1"/>
    <n v="14"/>
    <n v="14"/>
    <n v="6"/>
    <n v="35"/>
    <n v="1"/>
    <n v="2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4"/>
    <s v="ANCIENT"/>
    <s v="11x13"/>
    <x v="0"/>
    <n v="21"/>
    <n v="17"/>
    <n v="3"/>
    <n v="51"/>
    <n v="1.2352941176470589"/>
    <n v="2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5"/>
    <s v="MIRAGE"/>
    <s v="10x13"/>
    <x v="0"/>
    <n v="20"/>
    <n v="18"/>
    <n v="7"/>
    <n v="51"/>
    <n v="1.1111111111111112"/>
    <n v="1"/>
    <n v="3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06"/>
    <s v="NUKE"/>
    <s v="12x16"/>
    <x v="0"/>
    <n v="16"/>
    <n v="25"/>
    <n v="8"/>
    <n v="41"/>
    <n v="0.64"/>
    <n v="4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07"/>
    <s v="MIRAGE"/>
    <s v="15x15"/>
    <x v="2"/>
    <n v="25"/>
    <n v="19"/>
    <n v="2"/>
    <n v="62"/>
    <n v="1.3157894736842106"/>
    <n v="1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08"/>
    <s v="NUKE"/>
    <s v="8x13"/>
    <x v="0"/>
    <n v="18"/>
    <n v="16"/>
    <n v="2"/>
    <n v="39"/>
    <n v="1.125"/>
    <n v="3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09"/>
    <s v="OVERPASS"/>
    <s v="13x9"/>
    <x v="1"/>
    <n v="19"/>
    <n v="13"/>
    <n v="3"/>
    <n v="52"/>
    <n v="1.4615384615384615"/>
    <n v="2"/>
    <n v="3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10"/>
    <s v="MIRAGE"/>
    <s v="10x13"/>
    <x v="0"/>
    <n v="19"/>
    <n v="18"/>
    <n v="8"/>
    <n v="37"/>
    <n v="1.0555555555555556"/>
    <n v="3"/>
    <n v="3"/>
    <n v="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n v="111"/>
    <s v="NUKE"/>
    <s v="13x3"/>
    <x v="1"/>
    <n v="8"/>
    <n v="13"/>
    <n v="2"/>
    <n v="19"/>
    <n v="0.61538461538461542"/>
    <n v="5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12"/>
    <s v="ANUBIS"/>
    <s v="16x14"/>
    <x v="1"/>
    <n v="22"/>
    <n v="24"/>
    <n v="4"/>
    <n v="61"/>
    <n v="0.91666666666666663"/>
    <n v="1"/>
    <n v="3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</r>
  <r>
    <n v="113"/>
    <s v="MIRAGE"/>
    <s v="1x13"/>
    <x v="0"/>
    <n v="8"/>
    <n v="14"/>
    <n v="3"/>
    <n v="21"/>
    <n v="0.5714285714285714"/>
    <n v="2"/>
    <n v="3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114"/>
    <s v="NUKE"/>
    <s v="2x13"/>
    <x v="0"/>
    <n v="5"/>
    <n v="14"/>
    <n v="1"/>
    <n v="11"/>
    <n v="0.35714285714285715"/>
    <n v="5"/>
    <n v="3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115"/>
    <s v="DUST II"/>
    <s v="13x9"/>
    <x v="1"/>
    <n v="18"/>
    <n v="13"/>
    <n v="5"/>
    <n v="46"/>
    <n v="1.3846153846153846"/>
    <n v="2"/>
    <n v="4"/>
    <n v="0"/>
    <n v="1"/>
    <n v="1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16"/>
    <s v="OVERPASS"/>
    <s v="10x13"/>
    <x v="0"/>
    <n v="16"/>
    <n v="17"/>
    <n v="3"/>
    <n v="39"/>
    <n v="0.94117647058823528"/>
    <n v="3"/>
    <n v="4"/>
    <n v="0"/>
    <n v="1"/>
    <n v="1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17"/>
    <s v="NUKE"/>
    <s v="13x5"/>
    <x v="1"/>
    <n v="13"/>
    <n v="11"/>
    <n v="3"/>
    <n v="31"/>
    <n v="1.1818181818181819"/>
    <n v="3"/>
    <n v="4"/>
    <n v="0"/>
    <n v="1"/>
    <n v="1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18"/>
    <s v="MIRAGE"/>
    <s v="12x16"/>
    <x v="0"/>
    <n v="16"/>
    <n v="21"/>
    <n v="6"/>
    <n v="45"/>
    <n v="0.76190476190476186"/>
    <n v="5"/>
    <n v="4"/>
    <n v="0"/>
    <n v="1"/>
    <n v="1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19"/>
    <s v="OVERPASS"/>
    <s v="11x13"/>
    <x v="0"/>
    <n v="10"/>
    <n v="16"/>
    <n v="5"/>
    <n v="27"/>
    <n v="0.625"/>
    <n v="5"/>
    <n v="2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n v="120"/>
    <s v="MIRAGE"/>
    <s v="8x13"/>
    <x v="0"/>
    <n v="11"/>
    <n v="18"/>
    <n v="6"/>
    <n v="32"/>
    <n v="0.61111111111111116"/>
    <n v="3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21"/>
    <s v="MIRAGE"/>
    <s v="13x1"/>
    <x v="1"/>
    <n v="14"/>
    <n v="4"/>
    <n v="2"/>
    <n v="31"/>
    <n v="3.5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2"/>
    <s v="DUST II"/>
    <s v="9x13"/>
    <x v="0"/>
    <n v="17"/>
    <n v="18"/>
    <n v="6"/>
    <n v="46"/>
    <n v="0.9444444444444444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3"/>
    <s v="NUKE"/>
    <s v="13x11"/>
    <x v="1"/>
    <n v="24"/>
    <n v="18"/>
    <n v="9"/>
    <n v="61"/>
    <n v="1.3333333333333333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4"/>
    <s v="OVERPASS"/>
    <s v="7x13"/>
    <x v="0"/>
    <n v="15"/>
    <n v="17"/>
    <n v="7"/>
    <n v="39"/>
    <n v="0.88235294117647056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5"/>
    <s v="MIRAGE"/>
    <s v="6x13"/>
    <x v="0"/>
    <n v="13"/>
    <n v="16"/>
    <n v="4"/>
    <n v="31"/>
    <n v="0.8125"/>
    <n v="2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26"/>
    <s v="ANCIENT"/>
    <s v="6x13"/>
    <x v="0"/>
    <n v="14"/>
    <n v="16"/>
    <n v="2"/>
    <n v="32"/>
    <n v="0.875"/>
    <n v="2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27"/>
    <s v="INFERNO"/>
    <s v="13x9"/>
    <x v="1"/>
    <n v="19"/>
    <n v="16"/>
    <n v="2"/>
    <n v="44"/>
    <n v="1.1875"/>
    <n v="3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28"/>
    <s v="DUST II"/>
    <s v="13x10"/>
    <x v="1"/>
    <n v="18"/>
    <n v="12"/>
    <n v="6"/>
    <n v="45"/>
    <n v="1.5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"/>
    <s v="INFERNO"/>
    <s v="9x13"/>
    <x v="0"/>
    <n v="19"/>
    <n v="18"/>
    <n v="4"/>
    <n v="52"/>
    <n v="1.0555555555555556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0"/>
    <s v="OVERPASS"/>
    <s v="13x10"/>
    <x v="1"/>
    <n v="19"/>
    <n v="14"/>
    <n v="4"/>
    <n v="48"/>
    <n v="1.3571428571428572"/>
    <n v="2"/>
    <n v="3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31"/>
    <s v="DUST II"/>
    <s v="10x13"/>
    <x v="0"/>
    <n v="12"/>
    <n v="14"/>
    <n v="5"/>
    <n v="34"/>
    <n v="0.8571428571428571"/>
    <n v="4"/>
    <n v="3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32"/>
    <s v="MIRAGE"/>
    <s v="13x11"/>
    <x v="1"/>
    <n v="22"/>
    <n v="16"/>
    <n v="3"/>
    <n v="56"/>
    <n v="1.375"/>
    <n v="2"/>
    <n v="3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33"/>
    <s v="INFERNO"/>
    <s v="13x7"/>
    <x v="1"/>
    <n v="16"/>
    <n v="14"/>
    <n v="7"/>
    <n v="43"/>
    <n v="1.1428571428571428"/>
    <n v="3"/>
    <n v="3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34"/>
    <s v="INFERNO"/>
    <s v="16x14"/>
    <x v="1"/>
    <n v="19"/>
    <n v="20"/>
    <n v="5"/>
    <n v="48"/>
    <n v="0.95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5"/>
    <s v="INFERNO"/>
    <s v="13x11"/>
    <x v="1"/>
    <n v="20"/>
    <n v="16"/>
    <n v="3"/>
    <n v="43"/>
    <n v="1.25"/>
    <n v="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6"/>
    <s v="MIRAGE"/>
    <s v="13x1"/>
    <x v="1"/>
    <n v="8"/>
    <n v="6"/>
    <n v="3"/>
    <n v="21"/>
    <n v="1.3333333333333333"/>
    <n v="5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37"/>
    <s v="ANUBIS"/>
    <s v="9x13"/>
    <x v="0"/>
    <n v="14"/>
    <n v="18"/>
    <n v="6"/>
    <n v="37"/>
    <n v="0.77777777777777779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38"/>
    <s v="NUKE"/>
    <s v="6x13"/>
    <x v="0"/>
    <n v="12"/>
    <n v="17"/>
    <n v="5"/>
    <n v="32"/>
    <n v="0.70588235294117652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39"/>
    <s v="DUST II"/>
    <s v="13x6"/>
    <x v="1"/>
    <n v="18"/>
    <n v="11"/>
    <n v="4"/>
    <n v="45"/>
    <n v="1.6363636363636365"/>
    <n v="3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40"/>
    <s v="ANCIENT"/>
    <s v="10x13"/>
    <x v="0"/>
    <n v="9"/>
    <n v="20"/>
    <n v="5"/>
    <n v="24"/>
    <n v="0.45"/>
    <n v="4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41"/>
    <s v="INFERNO"/>
    <s v="13x8"/>
    <x v="1"/>
    <n v="10"/>
    <n v="15"/>
    <n v="7"/>
    <n v="29"/>
    <n v="0.66666666666666663"/>
    <n v="4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42"/>
    <s v="OVERPASS"/>
    <s v="10x13"/>
    <x v="0"/>
    <n v="15"/>
    <n v="18"/>
    <n v="7"/>
    <n v="37"/>
    <n v="0.83333333333333337"/>
    <n v="4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3"/>
    <s v="DUST II"/>
    <s v="13x9"/>
    <x v="1"/>
    <n v="16"/>
    <n v="15"/>
    <n v="9"/>
    <n v="45"/>
    <n v="1.0666666666666667"/>
    <n v="3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4"/>
    <s v="ANCIENT"/>
    <s v="8x13"/>
    <x v="0"/>
    <n v="17"/>
    <n v="17"/>
    <n v="4"/>
    <n v="45"/>
    <n v="1"/>
    <n v="2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5"/>
    <s v="MIRAGE"/>
    <s v="16x12"/>
    <x v="1"/>
    <n v="19"/>
    <n v="23"/>
    <n v="5"/>
    <n v="46"/>
    <n v="0.82608695652173914"/>
    <n v="4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6"/>
    <s v="MIRAGE"/>
    <s v="13x1"/>
    <x v="1"/>
    <n v="13"/>
    <n v="8"/>
    <n v="2"/>
    <n v="33"/>
    <n v="1.625"/>
    <n v="3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7"/>
    <s v="DUST II"/>
    <s v="13x9"/>
    <x v="1"/>
    <n v="13"/>
    <n v="18"/>
    <n v="4"/>
    <n v="35"/>
    <n v="0.72222222222222221"/>
    <n v="4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8"/>
    <s v="DUST II"/>
    <s v="13x9"/>
    <x v="1"/>
    <n v="10"/>
    <n v="15"/>
    <n v="7"/>
    <n v="29"/>
    <n v="0.66666666666666663"/>
    <n v="4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9"/>
    <s v="ANCIENT"/>
    <s v="13x8"/>
    <x v="1"/>
    <n v="23"/>
    <n v="15"/>
    <n v="3"/>
    <n v="63"/>
    <n v="1.5333333333333334"/>
    <n v="1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50"/>
    <s v="OVERPASS"/>
    <s v="15x15"/>
    <x v="2"/>
    <n v="17"/>
    <n v="21"/>
    <n v="10"/>
    <n v="43"/>
    <n v="0.80952380952380953"/>
    <n v="4"/>
    <n v="3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1"/>
    <s v="MIRAGE"/>
    <s v="13x6"/>
    <x v="1"/>
    <n v="17"/>
    <n v="13"/>
    <n v="5"/>
    <n v="47"/>
    <n v="1.3076923076923077"/>
    <n v="2"/>
    <n v="3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2"/>
    <s v="NUKE"/>
    <s v="13x6"/>
    <x v="1"/>
    <n v="18"/>
    <n v="11"/>
    <n v="6"/>
    <n v="51"/>
    <n v="1.6363636363636365"/>
    <n v="1"/>
    <n v="3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3"/>
    <s v="NUKE"/>
    <s v="13x7"/>
    <x v="1"/>
    <n v="19"/>
    <n v="13"/>
    <n v="5"/>
    <n v="47"/>
    <n v="1.4615384615384615"/>
    <n v="3"/>
    <n v="4"/>
    <n v="1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4"/>
    <s v="MIRAGE"/>
    <s v="13x11"/>
    <x v="1"/>
    <n v="15"/>
    <n v="13"/>
    <n v="3"/>
    <n v="49"/>
    <n v="1.1538461538461537"/>
    <n v="2"/>
    <n v="4"/>
    <n v="1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5"/>
    <s v="MIRAGE"/>
    <s v="5x13"/>
    <x v="0"/>
    <n v="8"/>
    <n v="14"/>
    <n v="2"/>
    <n v="19"/>
    <n v="0.5714285714285714"/>
    <n v="5"/>
    <n v="4"/>
    <n v="1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6"/>
    <s v="ANCIENT"/>
    <s v="13x3"/>
    <x v="1"/>
    <n v="13"/>
    <n v="7"/>
    <n v="4"/>
    <n v="38"/>
    <n v="1.8571428571428572"/>
    <n v="3"/>
    <n v="3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</r>
  <r>
    <n v="157"/>
    <s v="MIRAGE"/>
    <s v="10x13"/>
    <x v="0"/>
    <n v="11"/>
    <n v="18"/>
    <n v="7"/>
    <n v="33"/>
    <n v="0.61111111111111116"/>
    <n v="3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58"/>
    <s v="MIRAGE"/>
    <s v="15x15"/>
    <x v="2"/>
    <n v="29"/>
    <n v="20"/>
    <n v="11"/>
    <n v="73"/>
    <n v="1.45"/>
    <n v="1"/>
    <n v="3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59"/>
    <s v="ANCIENT"/>
    <s v="11x13"/>
    <x v="0"/>
    <n v="22"/>
    <n v="16"/>
    <n v="8"/>
    <n v="65"/>
    <n v="1.375"/>
    <n v="1"/>
    <n v="4"/>
    <n v="1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</r>
  <r>
    <n v="160"/>
    <s v="MIRAGE"/>
    <s v="13x6"/>
    <x v="1"/>
    <n v="15"/>
    <n v="14"/>
    <n v="8"/>
    <n v="41"/>
    <n v="1.0714285714285714"/>
    <n v="2"/>
    <n v="3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</r>
  <r>
    <n v="161"/>
    <s v="ANCIENT"/>
    <s v="5x13"/>
    <x v="0"/>
    <n v="15"/>
    <n v="15"/>
    <n v="7"/>
    <n v="35"/>
    <n v="1"/>
    <n v="2"/>
    <n v="4"/>
    <n v="0"/>
    <n v="1"/>
    <n v="0"/>
    <n v="0"/>
    <n v="1"/>
    <n v="0"/>
    <n v="0"/>
    <n v="0"/>
    <n v="0"/>
    <n v="0"/>
    <n v="1"/>
    <n v="0"/>
    <n v="0"/>
    <n v="0"/>
    <n v="0"/>
    <n v="0"/>
    <n v="1"/>
    <n v="0"/>
    <n v="0"/>
    <n v="0"/>
  </r>
  <r>
    <n v="162"/>
    <s v="MIRAGE"/>
    <s v="13x9"/>
    <x v="1"/>
    <n v="17"/>
    <n v="16"/>
    <n v="5"/>
    <n v="45"/>
    <n v="1.0625"/>
    <n v="4"/>
    <n v="4"/>
    <n v="0"/>
    <n v="1"/>
    <n v="0"/>
    <n v="0"/>
    <n v="1"/>
    <n v="0"/>
    <n v="0"/>
    <n v="0"/>
    <n v="0"/>
    <n v="0"/>
    <n v="1"/>
    <n v="0"/>
    <n v="0"/>
    <n v="0"/>
    <n v="0"/>
    <n v="0"/>
    <n v="1"/>
    <n v="0"/>
    <n v="0"/>
    <n v="0"/>
  </r>
  <r>
    <n v="163"/>
    <s v="MIRAGE"/>
    <s v="13x11"/>
    <x v="1"/>
    <n v="16"/>
    <n v="18"/>
    <n v="8"/>
    <n v="41"/>
    <n v="0.88888888888888884"/>
    <n v="5"/>
    <n v="4"/>
    <n v="0"/>
    <n v="1"/>
    <n v="1"/>
    <n v="0"/>
    <n v="0"/>
    <n v="0"/>
    <n v="0"/>
    <n v="0"/>
    <n v="0"/>
    <n v="0"/>
    <n v="1"/>
    <n v="0"/>
    <n v="0"/>
    <n v="0"/>
    <n v="0"/>
    <n v="0"/>
    <n v="1"/>
    <n v="0"/>
    <n v="0"/>
    <n v="0"/>
  </r>
  <r>
    <n v="164"/>
    <s v="MIRAGE"/>
    <s v="13x11"/>
    <x v="1"/>
    <n v="25"/>
    <n v="15"/>
    <n v="4"/>
    <n v="62"/>
    <n v="1.6666666666666667"/>
    <n v="1"/>
    <n v="4"/>
    <n v="0"/>
    <n v="1"/>
    <n v="1"/>
    <n v="0"/>
    <n v="0"/>
    <n v="0"/>
    <n v="0"/>
    <n v="0"/>
    <n v="0"/>
    <n v="0"/>
    <n v="1"/>
    <n v="0"/>
    <n v="0"/>
    <n v="0"/>
    <n v="0"/>
    <n v="0"/>
    <n v="1"/>
    <n v="0"/>
    <n v="0"/>
    <n v="0"/>
  </r>
  <r>
    <n v="165"/>
    <s v="MIRAGE"/>
    <s v="10x13"/>
    <x v="0"/>
    <n v="11"/>
    <n v="18"/>
    <n v="8"/>
    <n v="33"/>
    <n v="0.61111111111111116"/>
    <n v="3"/>
    <n v="4"/>
    <n v="0"/>
    <n v="1"/>
    <n v="1"/>
    <n v="0"/>
    <n v="0"/>
    <n v="0"/>
    <n v="0"/>
    <n v="0"/>
    <n v="0"/>
    <n v="0"/>
    <n v="1"/>
    <n v="0"/>
    <n v="0"/>
    <n v="0"/>
    <n v="0"/>
    <n v="0"/>
    <n v="1"/>
    <n v="0"/>
    <n v="0"/>
    <n v="0"/>
  </r>
  <r>
    <n v="166"/>
    <s v="OVERPASS"/>
    <s v="13x10"/>
    <x v="1"/>
    <n v="20"/>
    <n v="10"/>
    <n v="4"/>
    <n v="73"/>
    <n v="2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7"/>
    <s v="MIRAGE"/>
    <s v="6x13"/>
    <x v="0"/>
    <n v="16"/>
    <n v="17"/>
    <n v="5"/>
    <n v="40"/>
    <n v="0.94117647058823528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8"/>
    <s v="INFERNO"/>
    <s v="13x16"/>
    <x v="0"/>
    <n v="26"/>
    <n v="19"/>
    <n v="5"/>
    <n v="67"/>
    <n v="1.368421052631579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9"/>
    <s v="NUKE"/>
    <s v="13x3"/>
    <x v="1"/>
    <n v="17"/>
    <n v="7"/>
    <n v="1"/>
    <n v="47"/>
    <n v="2.4285714285714284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70"/>
    <s v="OVERPASS"/>
    <s v="6x13"/>
    <x v="0"/>
    <n v="16"/>
    <n v="16"/>
    <n v="3"/>
    <n v="41"/>
    <n v="1"/>
    <n v="2"/>
    <n v="4"/>
    <n v="1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n v="171"/>
    <s v="NUKE"/>
    <s v="13x7"/>
    <x v="1"/>
    <n v="22"/>
    <n v="11"/>
    <n v="1"/>
    <n v="49"/>
    <n v="2"/>
    <n v="1"/>
    <n v="4"/>
    <n v="1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n v="172"/>
    <s v="NUKE"/>
    <s v="10x13"/>
    <x v="0"/>
    <n v="12"/>
    <n v="19"/>
    <n v="5"/>
    <n v="25"/>
    <n v="0.63157894736842102"/>
    <n v="2"/>
    <n v="4"/>
    <n v="1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n v="173"/>
    <s v="DUST II"/>
    <s v="10x13"/>
    <x v="0"/>
    <n v="14"/>
    <n v="19"/>
    <n v="2"/>
    <n v="39"/>
    <n v="0.73684210526315785"/>
    <n v="2"/>
    <n v="4"/>
    <n v="1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n v="174"/>
    <s v="MIRAGE"/>
    <s v="11x13"/>
    <x v="0"/>
    <n v="20"/>
    <n v="16"/>
    <n v="5"/>
    <n v="52"/>
    <n v="1.25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5"/>
    <s v="ANCIENT"/>
    <s v="10x13"/>
    <x v="0"/>
    <n v="20"/>
    <n v="16"/>
    <n v="5"/>
    <n v="53"/>
    <n v="1.25"/>
    <n v="1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76"/>
    <s v="ANUBIS"/>
    <s v="12x3"/>
    <x v="1"/>
    <n v="8"/>
    <n v="10"/>
    <n v="6"/>
    <n v="31"/>
    <n v="0.8"/>
    <n v="4"/>
    <n v="4"/>
    <n v="0"/>
    <n v="1"/>
    <n v="1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77"/>
    <s v="MIRAGE"/>
    <s v="13x9"/>
    <x v="1"/>
    <n v="9"/>
    <n v="18"/>
    <n v="3"/>
    <n v="24"/>
    <n v="0.5"/>
    <n v="5"/>
    <n v="4"/>
    <n v="0"/>
    <n v="1"/>
    <n v="1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78"/>
    <s v="NUKE"/>
    <s v="16x14"/>
    <x v="1"/>
    <n v="21"/>
    <n v="22"/>
    <n v="6"/>
    <n v="56"/>
    <n v="0.95454545454545459"/>
    <n v="3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79"/>
    <s v="INFERNO"/>
    <s v="9x13"/>
    <x v="0"/>
    <n v="7"/>
    <n v="19"/>
    <n v="3"/>
    <n v="22"/>
    <n v="0.36842105263157893"/>
    <n v="5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80"/>
    <s v="MIRAGE"/>
    <s v="7x13"/>
    <x v="0"/>
    <n v="12"/>
    <n v="18"/>
    <n v="1"/>
    <n v="26"/>
    <n v="0.66666666666666663"/>
    <n v="5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81"/>
    <s v="OVERPASS"/>
    <s v="13x5"/>
    <x v="1"/>
    <n v="21"/>
    <n v="8"/>
    <n v="5"/>
    <n v="52"/>
    <n v="2.625"/>
    <n v="1"/>
    <n v="4"/>
    <n v="0"/>
    <n v="0"/>
    <n v="0"/>
    <n v="0"/>
    <n v="1"/>
    <n v="0"/>
    <n v="0"/>
    <n v="0"/>
    <n v="0"/>
    <n v="0"/>
    <n v="0"/>
    <n v="0"/>
    <n v="0"/>
    <n v="1"/>
    <n v="0"/>
    <n v="0"/>
    <n v="0"/>
    <n v="1"/>
    <n v="1"/>
    <n v="0"/>
  </r>
  <r>
    <n v="182"/>
    <s v="MIRAGE"/>
    <s v="13x9"/>
    <x v="1"/>
    <n v="15"/>
    <n v="17"/>
    <n v="11"/>
    <n v="42"/>
    <n v="0.8823529411764705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3"/>
    <s v="INFERNO"/>
    <s v="13x3"/>
    <x v="1"/>
    <n v="18"/>
    <n v="7"/>
    <n v="6"/>
    <n v="50"/>
    <n v="2.57142857142857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4"/>
    <s v="INFERNO"/>
    <s v="13x9"/>
    <x v="1"/>
    <n v="15"/>
    <n v="13"/>
    <n v="2"/>
    <n v="48"/>
    <n v="1.153846153846153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5"/>
    <s v="MIRAGE"/>
    <s v="5x13"/>
    <x v="0"/>
    <n v="7"/>
    <n v="15"/>
    <n v="4"/>
    <n v="22"/>
    <n v="0.4666666666666666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6"/>
    <s v="INFERNO"/>
    <s v="4x13"/>
    <x v="0"/>
    <n v="12"/>
    <n v="16"/>
    <n v="3"/>
    <n v="27"/>
    <n v="0.75"/>
    <n v="2"/>
    <n v="4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</r>
  <r>
    <n v="187"/>
    <s v="DUST II"/>
    <s v="9x13"/>
    <x v="0"/>
    <n v="16"/>
    <n v="19"/>
    <n v="1"/>
    <n v="36"/>
    <n v="0.84210526315789469"/>
    <n v="3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88"/>
    <s v="INFERNO"/>
    <s v="13x1"/>
    <x v="1"/>
    <n v="18"/>
    <n v="5"/>
    <n v="5"/>
    <n v="37"/>
    <n v="3.6"/>
    <n v="2"/>
    <n v="4"/>
    <n v="0"/>
    <n v="0"/>
    <n v="0"/>
    <n v="0"/>
    <n v="1"/>
    <n v="0"/>
    <n v="0"/>
    <n v="0"/>
    <n v="0"/>
    <n v="0"/>
    <n v="0"/>
    <n v="0"/>
    <n v="0"/>
    <n v="1"/>
    <n v="0"/>
    <n v="0"/>
    <n v="0"/>
    <n v="1"/>
    <n v="1"/>
    <n v="0"/>
  </r>
  <r>
    <n v="189"/>
    <s v="NUKE"/>
    <s v="16x14"/>
    <x v="1"/>
    <n v="37"/>
    <n v="21"/>
    <n v="6"/>
    <n v="93"/>
    <n v="1.7619047619047619"/>
    <n v="1"/>
    <n v="4"/>
    <n v="0"/>
    <n v="0"/>
    <n v="0"/>
    <n v="0"/>
    <n v="1"/>
    <n v="0"/>
    <n v="0"/>
    <n v="0"/>
    <n v="0"/>
    <n v="0"/>
    <n v="0"/>
    <n v="0"/>
    <n v="0"/>
    <n v="1"/>
    <n v="0"/>
    <n v="0"/>
    <n v="0"/>
    <n v="1"/>
    <n v="1"/>
    <n v="0"/>
  </r>
  <r>
    <n v="190"/>
    <s v="MIRAGE"/>
    <s v="5x13"/>
    <x v="0"/>
    <n v="7"/>
    <n v="15"/>
    <n v="1"/>
    <n v="20"/>
    <n v="0.4666666666666666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1"/>
    <s v="OVERPASS"/>
    <s v="15x15"/>
    <x v="2"/>
    <n v="25"/>
    <n v="25"/>
    <n v="7"/>
    <n v="64"/>
    <n v="1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92"/>
    <s v="MIRAGE"/>
    <s v="3x13"/>
    <x v="0"/>
    <n v="0"/>
    <n v="16"/>
    <n v="7"/>
    <n v="6"/>
    <n v="0"/>
    <n v="5"/>
    <n v="4"/>
    <n v="1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93"/>
    <s v="INFERNO"/>
    <s v="9x13"/>
    <x v="0"/>
    <n v="18"/>
    <n v="19"/>
    <n v="7"/>
    <n v="45"/>
    <n v="0.94736842105263153"/>
    <n v="3"/>
    <n v="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94"/>
    <s v="MIRAGE"/>
    <s v="13x10"/>
    <x v="1"/>
    <n v="13"/>
    <n v="19"/>
    <n v="5"/>
    <n v="32"/>
    <n v="0.68421052631578949"/>
    <n v="5"/>
    <n v="4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95"/>
    <s v="OVERPASS"/>
    <s v="14x16"/>
    <x v="0"/>
    <n v="22"/>
    <n v="24"/>
    <n v="8"/>
    <n v="59"/>
    <n v="0.91666666666666663"/>
    <n v="3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6"/>
    <s v="MIRAGE"/>
    <s v="13x11"/>
    <x v="1"/>
    <n v="13"/>
    <n v="21"/>
    <n v="6"/>
    <n v="36"/>
    <n v="0.61904761904761907"/>
    <n v="5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7"/>
    <s v="MIRAGE"/>
    <s v="13x9"/>
    <x v="1"/>
    <n v="19"/>
    <n v="14"/>
    <n v="4"/>
    <n v="47"/>
    <n v="1.3571428571428572"/>
    <n v="3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98"/>
    <s v="ANUBIS"/>
    <s v="13x11"/>
    <x v="1"/>
    <n v="12"/>
    <n v="19"/>
    <n v="9"/>
    <n v="41"/>
    <n v="0.63157894736842102"/>
    <n v="3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99"/>
    <s v="INFERNO"/>
    <s v="8x13"/>
    <x v="0"/>
    <n v="10"/>
    <n v="19"/>
    <n v="4"/>
    <n v="56"/>
    <n v="0.52631578947368418"/>
    <n v="1"/>
    <n v="3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200"/>
    <s v="MIRAGE"/>
    <s v="16x14"/>
    <x v="1"/>
    <n v="20"/>
    <n v="24"/>
    <n v="10"/>
    <n v="55"/>
    <n v="0.83333333333333337"/>
    <n v="3"/>
    <n v="3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201"/>
    <s v="INFERNO"/>
    <s v="3x13"/>
    <x v="0"/>
    <n v="6"/>
    <n v="14"/>
    <n v="4"/>
    <n v="22"/>
    <n v="0.42857142857142855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02"/>
    <s v="DUST II"/>
    <s v="13x5"/>
    <x v="1"/>
    <n v="18"/>
    <n v="7"/>
    <n v="5"/>
    <n v="42"/>
    <n v="2.5714285714285716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n v="1"/>
    <x v="0"/>
    <s v="12x16"/>
    <x v="0"/>
    <n v="21"/>
    <n v="21"/>
    <n v="6"/>
    <n v="6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"/>
    <x v="1"/>
    <s v="13x10"/>
    <x v="1"/>
    <n v="23"/>
    <n v="14"/>
    <n v="7"/>
    <n v="61"/>
    <n v="1.6428571428571428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3"/>
    <x v="0"/>
    <s v="11x13"/>
    <x v="0"/>
    <n v="22"/>
    <n v="21"/>
    <n v="12"/>
    <n v="63"/>
    <n v="1.0476190476190477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4"/>
    <x v="2"/>
    <s v="13x4"/>
    <x v="1"/>
    <n v="20"/>
    <n v="8"/>
    <n v="4"/>
    <n v="48"/>
    <n v="2.5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5"/>
    <x v="1"/>
    <s v="13x11"/>
    <x v="1"/>
    <n v="27"/>
    <n v="18"/>
    <n v="5"/>
    <n v="62"/>
    <n v="1.5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6"/>
    <x v="3"/>
    <s v="13x9"/>
    <x v="1"/>
    <n v="10"/>
    <n v="14"/>
    <n v="8"/>
    <n v="35"/>
    <n v="0.714285714285714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"/>
    <x v="0"/>
    <s v="13x3"/>
    <x v="1"/>
    <n v="11"/>
    <n v="9"/>
    <n v="4"/>
    <n v="29"/>
    <n v="1.222222222222222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"/>
    <x v="3"/>
    <s v="13x1"/>
    <x v="1"/>
    <n v="11"/>
    <n v="4"/>
    <n v="1"/>
    <n v="32"/>
    <n v="2.7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x v="3"/>
    <s v="13x9"/>
    <x v="1"/>
    <n v="10"/>
    <n v="17"/>
    <n v="12"/>
    <n v="32"/>
    <n v="0.5882352941176470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"/>
    <x v="3"/>
    <s v="13x11"/>
    <x v="1"/>
    <n v="14"/>
    <n v="15"/>
    <n v="8"/>
    <n v="43"/>
    <n v="0.9333333333333333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x v="1"/>
    <s v="7x13"/>
    <x v="0"/>
    <n v="12"/>
    <n v="18"/>
    <n v="4"/>
    <n v="28"/>
    <n v="0.66666666666666663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"/>
    <x v="3"/>
    <s v="0x6"/>
    <x v="0"/>
    <n v="2"/>
    <n v="5"/>
    <n v="2"/>
    <n v="6"/>
    <n v="0.4"/>
    <n v="3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x v="3"/>
    <s v="13x10"/>
    <x v="1"/>
    <n v="30"/>
    <n v="16"/>
    <n v="5"/>
    <n v="67"/>
    <n v="1.875"/>
    <n v="1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14"/>
    <x v="0"/>
    <s v="14x16"/>
    <x v="0"/>
    <n v="30"/>
    <n v="25"/>
    <n v="12"/>
    <n v="76"/>
    <n v="1.2"/>
    <n v="1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15"/>
    <x v="1"/>
    <s v="9x13"/>
    <x v="0"/>
    <n v="11"/>
    <n v="17"/>
    <n v="7"/>
    <n v="31"/>
    <n v="0.6470588235294118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"/>
    <x v="4"/>
    <s v="11x13"/>
    <x v="0"/>
    <n v="19"/>
    <n v="18"/>
    <n v="4"/>
    <n v="49"/>
    <n v="1.0555555555555556"/>
    <n v="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7"/>
    <x v="3"/>
    <s v="15x15"/>
    <x v="2"/>
    <n v="25"/>
    <n v="22"/>
    <n v="7"/>
    <n v="66"/>
    <n v="1.136363636363636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"/>
    <x v="0"/>
    <s v="13x9"/>
    <x v="1"/>
    <n v="26"/>
    <n v="13"/>
    <n v="4"/>
    <n v="6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"/>
    <x v="1"/>
    <s v="13x7"/>
    <x v="1"/>
    <n v="19"/>
    <n v="12"/>
    <n v="3"/>
    <n v="47"/>
    <n v="1.583333333333333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"/>
    <x v="0"/>
    <s v="13x6"/>
    <x v="1"/>
    <n v="19"/>
    <n v="9"/>
    <n v="4"/>
    <n v="55"/>
    <n v="2.1111111111111112"/>
    <n v="2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21"/>
    <x v="1"/>
    <s v="13x9"/>
    <x v="1"/>
    <n v="18"/>
    <n v="14"/>
    <n v="3"/>
    <n v="44"/>
    <n v="1.2857142857142858"/>
    <n v="1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22"/>
    <x v="3"/>
    <s v="13x10"/>
    <x v="1"/>
    <n v="30"/>
    <n v="14"/>
    <n v="4"/>
    <n v="68"/>
    <n v="2.1428571428571428"/>
    <n v="1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23"/>
    <x v="0"/>
    <s v="7x13"/>
    <x v="0"/>
    <n v="6"/>
    <n v="16"/>
    <n v="2"/>
    <n v="14"/>
    <n v="0.375"/>
    <n v="5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24"/>
    <x v="0"/>
    <s v="13x10"/>
    <x v="1"/>
    <n v="23"/>
    <n v="16"/>
    <n v="1"/>
    <n v="53"/>
    <n v="1.4375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5"/>
    <x v="3"/>
    <s v="11x13"/>
    <x v="0"/>
    <n v="14"/>
    <n v="17"/>
    <n v="8"/>
    <n v="42"/>
    <n v="0.82352941176470584"/>
    <n v="4"/>
    <n v="3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n v="26"/>
    <x v="5"/>
    <s v="12x16"/>
    <x v="0"/>
    <n v="22"/>
    <n v="21"/>
    <n v="3"/>
    <n v="61"/>
    <n v="1.0476190476190477"/>
    <n v="1"/>
    <n v="4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n v="27"/>
    <x v="0"/>
    <s v="10x13"/>
    <x v="0"/>
    <n v="14"/>
    <n v="18"/>
    <n v="6"/>
    <n v="38"/>
    <n v="0.77777777777777779"/>
    <n v="4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8"/>
    <x v="3"/>
    <s v="13x9"/>
    <x v="1"/>
    <n v="13"/>
    <n v="17"/>
    <n v="11"/>
    <n v="43"/>
    <n v="0.76470588235294112"/>
    <n v="4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9"/>
    <x v="3"/>
    <s v="13x6"/>
    <x v="1"/>
    <n v="11"/>
    <n v="12"/>
    <n v="6"/>
    <n v="34"/>
    <n v="0.91666666666666663"/>
    <n v="3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0"/>
    <x v="3"/>
    <s v="13x6"/>
    <x v="1"/>
    <n v="20"/>
    <n v="12"/>
    <n v="2"/>
    <n v="54"/>
    <n v="1.6666666666666667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1"/>
    <x v="5"/>
    <s v="9x13"/>
    <x v="0"/>
    <n v="24"/>
    <n v="15"/>
    <n v="5"/>
    <n v="61"/>
    <n v="1.6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"/>
    <x v="3"/>
    <s v="13x11"/>
    <x v="1"/>
    <n v="23"/>
    <n v="17"/>
    <n v="3"/>
    <n v="52"/>
    <n v="1.3529411764705883"/>
    <n v="2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"/>
    <x v="0"/>
    <s v="9x13"/>
    <x v="0"/>
    <n v="15"/>
    <n v="15"/>
    <n v="6"/>
    <n v="43"/>
    <n v="1"/>
    <n v="2"/>
    <n v="4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n v="34"/>
    <x v="1"/>
    <s v="9x13"/>
    <x v="0"/>
    <n v="19"/>
    <n v="15"/>
    <n v="1"/>
    <n v="41"/>
    <n v="1.2666666666666666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"/>
    <x v="2"/>
    <s v="10x13"/>
    <x v="0"/>
    <n v="11"/>
    <n v="16"/>
    <n v="5"/>
    <n v="32"/>
    <n v="0.687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"/>
    <x v="0"/>
    <s v="6x13"/>
    <x v="0"/>
    <n v="18"/>
    <n v="17"/>
    <n v="3"/>
    <n v="44"/>
    <n v="1.058823529411764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7"/>
    <x v="3"/>
    <s v="2x13"/>
    <x v="0"/>
    <n v="10"/>
    <n v="13"/>
    <n v="2"/>
    <n v="22"/>
    <n v="0.7692307692307692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8"/>
    <x v="6"/>
    <s v="13x10"/>
    <x v="1"/>
    <n v="22"/>
    <n v="14"/>
    <n v="4"/>
    <n v="55"/>
    <n v="1.571428571428571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9"/>
    <x v="5"/>
    <s v="13x2"/>
    <x v="1"/>
    <n v="19"/>
    <n v="10"/>
    <n v="3"/>
    <n v="42"/>
    <n v="1.9"/>
    <n v="2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40"/>
    <x v="5"/>
    <s v="13x1"/>
    <x v="1"/>
    <n v="22"/>
    <n v="5"/>
    <n v="3"/>
    <n v="46"/>
    <n v="4.4000000000000004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41"/>
    <x v="0"/>
    <s v="0X1"/>
    <x v="0"/>
    <n v="0"/>
    <n v="0"/>
    <n v="0"/>
    <n v="0"/>
    <n v="1"/>
    <n v="3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42"/>
    <x v="3"/>
    <s v="13x1"/>
    <x v="1"/>
    <n v="18"/>
    <n v="8"/>
    <n v="5"/>
    <n v="39"/>
    <n v="2.25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43"/>
    <x v="3"/>
    <s v="5x12"/>
    <x v="0"/>
    <n v="10"/>
    <n v="15"/>
    <n v="4"/>
    <n v="26"/>
    <n v="0.66666666666666663"/>
    <n v="2"/>
    <n v="2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n v="44"/>
    <x v="1"/>
    <s v="11x13"/>
    <x v="0"/>
    <n v="23"/>
    <n v="16"/>
    <n v="4"/>
    <n v="55"/>
    <n v="1.4375"/>
    <n v="2"/>
    <n v="2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n v="45"/>
    <x v="4"/>
    <s v="13x11"/>
    <x v="1"/>
    <n v="23"/>
    <n v="17"/>
    <n v="2"/>
    <n v="52"/>
    <n v="1.3529411764705883"/>
    <n v="2"/>
    <n v="3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0"/>
    <n v="0"/>
  </r>
  <r>
    <n v="46"/>
    <x v="0"/>
    <s v="9x13"/>
    <x v="0"/>
    <n v="16"/>
    <n v="17"/>
    <n v="2"/>
    <n v="44"/>
    <n v="0.94117647058823528"/>
    <n v="2"/>
    <n v="4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0"/>
    <n v="1"/>
  </r>
  <r>
    <n v="47"/>
    <x v="3"/>
    <s v="13x8"/>
    <x v="1"/>
    <n v="15"/>
    <n v="15"/>
    <n v="7"/>
    <n v="38"/>
    <n v="1"/>
    <n v="4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8"/>
    <x v="3"/>
    <s v="12x16"/>
    <x v="0"/>
    <n v="17"/>
    <n v="22"/>
    <n v="2"/>
    <n v="37"/>
    <n v="0.77272727272727271"/>
    <n v="3"/>
    <n v="4"/>
    <n v="1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</r>
  <r>
    <n v="49"/>
    <x v="0"/>
    <s v="13x1"/>
    <x v="1"/>
    <n v="22"/>
    <n v="2"/>
    <n v="7"/>
    <n v="58"/>
    <n v="11"/>
    <n v="1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n v="50"/>
    <x v="3"/>
    <s v="5x13"/>
    <x v="0"/>
    <n v="10"/>
    <n v="14"/>
    <n v="6"/>
    <n v="30"/>
    <n v="0.7142857142857143"/>
    <n v="2"/>
    <n v="4"/>
    <n v="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</r>
  <r>
    <n v="51"/>
    <x v="3"/>
    <s v="11x13"/>
    <x v="0"/>
    <n v="13"/>
    <n v="20"/>
    <n v="7"/>
    <n v="43"/>
    <n v="0.65"/>
    <n v="3"/>
    <n v="4"/>
    <n v="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</r>
  <r>
    <n v="52"/>
    <x v="1"/>
    <s v="9x13"/>
    <x v="0"/>
    <n v="20"/>
    <n v="16"/>
    <n v="4"/>
    <n v="49"/>
    <n v="1.25"/>
    <n v="1"/>
    <n v="4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53"/>
    <x v="4"/>
    <s v="13x11"/>
    <x v="1"/>
    <n v="31"/>
    <n v="17"/>
    <n v="3"/>
    <n v="68"/>
    <n v="1.8235294117647058"/>
    <n v="1"/>
    <n v="4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54"/>
    <x v="0"/>
    <s v="11x13"/>
    <x v="0"/>
    <n v="22"/>
    <n v="19"/>
    <n v="6"/>
    <n v="58"/>
    <n v="1.1578947368421053"/>
    <n v="1"/>
    <n v="4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55"/>
    <x v="3"/>
    <s v="9x13"/>
    <x v="0"/>
    <n v="17"/>
    <n v="18"/>
    <n v="4"/>
    <n v="42"/>
    <n v="0.94444444444444442"/>
    <n v="2"/>
    <n v="4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56"/>
    <x v="0"/>
    <s v="3x13"/>
    <x v="0"/>
    <n v="7"/>
    <n v="15"/>
    <n v="2"/>
    <n v="16"/>
    <n v="0.46666666666666667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7"/>
    <x v="4"/>
    <s v="11x13"/>
    <x v="0"/>
    <n v="23"/>
    <n v="18"/>
    <n v="4"/>
    <n v="58"/>
    <n v="1.2777777777777777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58"/>
    <x v="1"/>
    <s v="8x13"/>
    <x v="0"/>
    <n v="19"/>
    <n v="16"/>
    <n v="3"/>
    <n v="51"/>
    <n v="1.1875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59"/>
    <x v="3"/>
    <s v="6x13"/>
    <x v="0"/>
    <n v="21"/>
    <n v="14"/>
    <n v="4"/>
    <n v="46"/>
    <n v="1.5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0"/>
    <x v="0"/>
    <s v="13x9"/>
    <x v="1"/>
    <n v="13"/>
    <n v="15"/>
    <n v="2"/>
    <n v="41"/>
    <n v="0.8666666666666667"/>
    <n v="3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1"/>
    <x v="4"/>
    <s v="12x16"/>
    <x v="0"/>
    <n v="25"/>
    <n v="23"/>
    <n v="7"/>
    <n v="64"/>
    <n v="1.0869565217391304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2"/>
    <x v="3"/>
    <s v="8x13"/>
    <x v="0"/>
    <n v="14"/>
    <n v="17"/>
    <n v="3"/>
    <n v="31"/>
    <n v="0.82352941176470584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3"/>
    <x v="5"/>
    <s v="13x4"/>
    <x v="1"/>
    <n v="14"/>
    <n v="10"/>
    <n v="3"/>
    <n v="29"/>
    <n v="1.4"/>
    <n v="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"/>
    <x v="0"/>
    <s v="11x13"/>
    <x v="0"/>
    <n v="15"/>
    <n v="18"/>
    <n v="5"/>
    <n v="47"/>
    <n v="0.83333333333333337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65"/>
    <x v="1"/>
    <s v="13x5"/>
    <x v="1"/>
    <n v="16"/>
    <n v="10"/>
    <n v="4"/>
    <n v="44"/>
    <n v="1.6"/>
    <n v="2"/>
    <n v="3"/>
    <n v="0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66"/>
    <x v="3"/>
    <s v="10x13"/>
    <x v="0"/>
    <n v="11"/>
    <n v="21"/>
    <n v="4"/>
    <n v="30"/>
    <n v="0.52380952380952384"/>
    <n v="5"/>
    <n v="3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0"/>
  </r>
  <r>
    <n v="67"/>
    <x v="3"/>
    <s v="14x16"/>
    <x v="0"/>
    <n v="17"/>
    <n v="24"/>
    <n v="5"/>
    <n v="42"/>
    <n v="0.70833333333333337"/>
    <n v="5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68"/>
    <x v="0"/>
    <s v="6x13"/>
    <x v="0"/>
    <n v="10"/>
    <n v="17"/>
    <n v="3"/>
    <n v="22"/>
    <n v="0.58823529411764708"/>
    <n v="5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69"/>
    <x v="0"/>
    <s v="13x9"/>
    <x v="1"/>
    <n v="20"/>
    <n v="14"/>
    <n v="4"/>
    <n v="52"/>
    <n v="1.4285714285714286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0"/>
    <x v="5"/>
    <s v="13x9"/>
    <x v="1"/>
    <n v="18"/>
    <n v="11"/>
    <n v="4"/>
    <n v="48"/>
    <n v="1.6363636363636365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1"/>
    <x v="4"/>
    <s v="13x9"/>
    <x v="1"/>
    <n v="15"/>
    <n v="14"/>
    <n v="1"/>
    <n v="52"/>
    <n v="1.0714285714285714"/>
    <n v="2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72"/>
    <x v="5"/>
    <s v="10x13"/>
    <x v="0"/>
    <n v="12"/>
    <n v="16"/>
    <n v="0"/>
    <n v="33"/>
    <n v="0.75"/>
    <n v="3"/>
    <n v="4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n v="73"/>
    <x v="4"/>
    <s v="13x9"/>
    <x v="1"/>
    <n v="24"/>
    <n v="16"/>
    <n v="4"/>
    <n v="58"/>
    <n v="1.5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4"/>
    <x v="5"/>
    <s v="15x15"/>
    <x v="2"/>
    <n v="32"/>
    <n v="21"/>
    <n v="4"/>
    <n v="83"/>
    <n v="1.5238095238095237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5"/>
    <x v="3"/>
    <s v="5x13"/>
    <x v="0"/>
    <n v="13"/>
    <n v="15"/>
    <n v="1"/>
    <n v="35"/>
    <n v="0.8666666666666667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6"/>
    <x v="5"/>
    <s v="13x9"/>
    <x v="1"/>
    <n v="18"/>
    <n v="17"/>
    <n v="6"/>
    <n v="44"/>
    <n v="1.0588235294117647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7"/>
    <x v="0"/>
    <s v="11x13"/>
    <x v="0"/>
    <n v="17"/>
    <n v="20"/>
    <n v="4"/>
    <n v="43"/>
    <n v="0.85"/>
    <n v="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8"/>
    <x v="2"/>
    <s v="8x13"/>
    <x v="0"/>
    <n v="8"/>
    <n v="15"/>
    <n v="5"/>
    <n v="25"/>
    <n v="0.53333333333333333"/>
    <n v="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9"/>
    <x v="0"/>
    <s v="11x13"/>
    <x v="0"/>
    <n v="20"/>
    <n v="16"/>
    <n v="7"/>
    <n v="54"/>
    <n v="1.25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0"/>
    <x v="4"/>
    <s v="7x13"/>
    <x v="0"/>
    <n v="16"/>
    <n v="18"/>
    <n v="2"/>
    <n v="40"/>
    <n v="0.88888888888888884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1"/>
    <x v="3"/>
    <s v="13x9"/>
    <x v="1"/>
    <n v="17"/>
    <n v="15"/>
    <n v="4"/>
    <n v="41"/>
    <n v="1.1333333333333333"/>
    <n v="2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2"/>
    <x v="5"/>
    <s v="14x16"/>
    <x v="0"/>
    <n v="13"/>
    <n v="25"/>
    <n v="12"/>
    <n v="47"/>
    <n v="0.52"/>
    <n v="5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3"/>
    <x v="3"/>
    <s v="13x2"/>
    <x v="1"/>
    <n v="17"/>
    <n v="4"/>
    <n v="2"/>
    <n v="36"/>
    <n v="4.25"/>
    <n v="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"/>
    <x v="0"/>
    <s v="3x13"/>
    <x v="0"/>
    <n v="8"/>
    <n v="15"/>
    <n v="3"/>
    <n v="20"/>
    <n v="0.53333333333333333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5"/>
    <x v="6"/>
    <s v="8x13"/>
    <x v="0"/>
    <n v="20"/>
    <n v="17"/>
    <n v="4"/>
    <n v="49"/>
    <n v="1.1764705882352942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6"/>
    <x v="1"/>
    <s v="13x6"/>
    <x v="1"/>
    <n v="12"/>
    <n v="12"/>
    <n v="6"/>
    <n v="34"/>
    <n v="1"/>
    <n v="4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7"/>
    <x v="6"/>
    <s v="13x1"/>
    <x v="1"/>
    <n v="12"/>
    <n v="7"/>
    <n v="5"/>
    <n v="36"/>
    <n v="1.7142857142857142"/>
    <n v="3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8"/>
    <x v="5"/>
    <s v="13x10"/>
    <x v="1"/>
    <n v="27"/>
    <n v="13"/>
    <n v="3"/>
    <n v="70"/>
    <n v="2.0769230769230771"/>
    <n v="1"/>
    <n v="4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89"/>
    <x v="1"/>
    <s v="13x4"/>
    <x v="1"/>
    <n v="22"/>
    <n v="9"/>
    <n v="4"/>
    <n v="55"/>
    <n v="2.4444444444444446"/>
    <n v="1"/>
    <n v="4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90"/>
    <x v="3"/>
    <s v="13x1"/>
    <x v="1"/>
    <n v="21"/>
    <n v="3"/>
    <n v="3"/>
    <n v="47"/>
    <n v="7"/>
    <n v="1"/>
    <n v="4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91"/>
    <x v="6"/>
    <s v="13x7"/>
    <x v="1"/>
    <n v="20"/>
    <n v="10"/>
    <n v="4"/>
    <n v="57"/>
    <n v="2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2"/>
    <x v="3"/>
    <s v="13x11"/>
    <x v="1"/>
    <n v="14"/>
    <n v="19"/>
    <n v="8"/>
    <n v="49"/>
    <n v="0.73684210526315785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3"/>
    <x v="1"/>
    <s v="15x15"/>
    <x v="2"/>
    <n v="26"/>
    <n v="17"/>
    <n v="9"/>
    <n v="69"/>
    <n v="1.5294117647058822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4"/>
    <x v="5"/>
    <s v="13x8"/>
    <x v="1"/>
    <n v="17"/>
    <n v="13"/>
    <n v="4"/>
    <n v="43"/>
    <n v="1.3076923076923077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5"/>
    <x v="5"/>
    <s v="15x15"/>
    <x v="2"/>
    <n v="35"/>
    <n v="26"/>
    <n v="6"/>
    <n v="88"/>
    <n v="1.3461538461538463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6"/>
    <x v="4"/>
    <s v="13x10"/>
    <x v="1"/>
    <n v="20"/>
    <n v="14"/>
    <n v="4"/>
    <n v="64"/>
    <n v="1.4285714285714286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7"/>
    <x v="0"/>
    <s v="6x13"/>
    <x v="0"/>
    <n v="13"/>
    <n v="18"/>
    <n v="5"/>
    <n v="30"/>
    <n v="0.72222222222222221"/>
    <n v="4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8"/>
    <x v="2"/>
    <s v="13x11"/>
    <x v="1"/>
    <n v="27"/>
    <n v="19"/>
    <n v="5"/>
    <n v="64"/>
    <n v="1.4210526315789473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9"/>
    <x v="2"/>
    <s v="13x6"/>
    <x v="1"/>
    <n v="18"/>
    <n v="11"/>
    <n v="5"/>
    <n v="51"/>
    <n v="1.6363636363636365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0"/>
    <x v="5"/>
    <s v="3x13"/>
    <x v="0"/>
    <n v="14"/>
    <n v="13"/>
    <n v="3"/>
    <n v="33"/>
    <n v="1.0769230769230769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1"/>
    <x v="4"/>
    <s v="10x2"/>
    <x v="1"/>
    <n v="12"/>
    <n v="6"/>
    <n v="1"/>
    <n v="25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2"/>
    <x v="3"/>
    <s v="16x14"/>
    <x v="1"/>
    <n v="24"/>
    <n v="15"/>
    <n v="2"/>
    <n v="66"/>
    <n v="1.6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3"/>
    <x v="5"/>
    <s v="13x7"/>
    <x v="1"/>
    <n v="14"/>
    <n v="14"/>
    <n v="6"/>
    <n v="35"/>
    <n v="1"/>
    <n v="2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4"/>
    <x v="6"/>
    <s v="11x13"/>
    <x v="0"/>
    <n v="21"/>
    <n v="17"/>
    <n v="3"/>
    <n v="51"/>
    <n v="1.2352941176470589"/>
    <n v="2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5"/>
    <x v="3"/>
    <s v="10x13"/>
    <x v="0"/>
    <n v="20"/>
    <n v="18"/>
    <n v="7"/>
    <n v="51"/>
    <n v="1.1111111111111112"/>
    <n v="1"/>
    <n v="3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06"/>
    <x v="1"/>
    <s v="12x16"/>
    <x v="0"/>
    <n v="16"/>
    <n v="25"/>
    <n v="8"/>
    <n v="41"/>
    <n v="0.64"/>
    <n v="4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07"/>
    <x v="3"/>
    <s v="15x15"/>
    <x v="2"/>
    <n v="25"/>
    <n v="19"/>
    <n v="2"/>
    <n v="62"/>
    <n v="1.3157894736842106"/>
    <n v="1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08"/>
    <x v="1"/>
    <s v="8x13"/>
    <x v="0"/>
    <n v="18"/>
    <n v="16"/>
    <n v="2"/>
    <n v="39"/>
    <n v="1.125"/>
    <n v="3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09"/>
    <x v="5"/>
    <s v="13x9"/>
    <x v="1"/>
    <n v="19"/>
    <n v="13"/>
    <n v="3"/>
    <n v="52"/>
    <n v="1.4615384615384615"/>
    <n v="2"/>
    <n v="3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10"/>
    <x v="3"/>
    <s v="10x13"/>
    <x v="0"/>
    <n v="19"/>
    <n v="18"/>
    <n v="8"/>
    <n v="37"/>
    <n v="1.0555555555555556"/>
    <n v="3"/>
    <n v="3"/>
    <n v="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n v="111"/>
    <x v="1"/>
    <s v="13x3"/>
    <x v="1"/>
    <n v="8"/>
    <n v="13"/>
    <n v="2"/>
    <n v="19"/>
    <n v="0.61538461538461542"/>
    <n v="5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12"/>
    <x v="4"/>
    <s v="16x14"/>
    <x v="1"/>
    <n v="22"/>
    <n v="24"/>
    <n v="4"/>
    <n v="61"/>
    <n v="0.91666666666666663"/>
    <n v="1"/>
    <n v="3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n v="0"/>
  </r>
  <r>
    <n v="113"/>
    <x v="3"/>
    <s v="1x13"/>
    <x v="0"/>
    <n v="8"/>
    <n v="14"/>
    <n v="3"/>
    <n v="21"/>
    <n v="0.5714285714285714"/>
    <n v="2"/>
    <n v="3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114"/>
    <x v="1"/>
    <s v="2x13"/>
    <x v="0"/>
    <n v="5"/>
    <n v="14"/>
    <n v="1"/>
    <n v="11"/>
    <n v="0.35714285714285715"/>
    <n v="5"/>
    <n v="3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115"/>
    <x v="2"/>
    <s v="13x9"/>
    <x v="1"/>
    <n v="18"/>
    <n v="13"/>
    <n v="5"/>
    <n v="46"/>
    <n v="1.3846153846153846"/>
    <n v="2"/>
    <n v="4"/>
    <n v="0"/>
    <n v="1"/>
    <n v="1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16"/>
    <x v="5"/>
    <s v="10x13"/>
    <x v="0"/>
    <n v="16"/>
    <n v="17"/>
    <n v="3"/>
    <n v="39"/>
    <n v="0.94117647058823528"/>
    <n v="3"/>
    <n v="4"/>
    <n v="0"/>
    <n v="1"/>
    <n v="1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17"/>
    <x v="1"/>
    <s v="13x5"/>
    <x v="1"/>
    <n v="13"/>
    <n v="11"/>
    <n v="3"/>
    <n v="31"/>
    <n v="1.1818181818181819"/>
    <n v="3"/>
    <n v="4"/>
    <n v="0"/>
    <n v="1"/>
    <n v="1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18"/>
    <x v="3"/>
    <s v="12x16"/>
    <x v="0"/>
    <n v="16"/>
    <n v="21"/>
    <n v="6"/>
    <n v="45"/>
    <n v="0.76190476190476186"/>
    <n v="5"/>
    <n v="4"/>
    <n v="0"/>
    <n v="1"/>
    <n v="1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19"/>
    <x v="5"/>
    <s v="11x13"/>
    <x v="0"/>
    <n v="10"/>
    <n v="16"/>
    <n v="5"/>
    <n v="27"/>
    <n v="0.625"/>
    <n v="5"/>
    <n v="2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n v="120"/>
    <x v="3"/>
    <s v="8x13"/>
    <x v="0"/>
    <n v="11"/>
    <n v="18"/>
    <n v="6"/>
    <n v="32"/>
    <n v="0.61111111111111116"/>
    <n v="3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21"/>
    <x v="3"/>
    <s v="13x1"/>
    <x v="1"/>
    <n v="14"/>
    <n v="4"/>
    <n v="2"/>
    <n v="31"/>
    <n v="3.5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2"/>
    <x v="2"/>
    <s v="9x13"/>
    <x v="0"/>
    <n v="17"/>
    <n v="18"/>
    <n v="6"/>
    <n v="46"/>
    <n v="0.9444444444444444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3"/>
    <x v="1"/>
    <s v="13x11"/>
    <x v="1"/>
    <n v="24"/>
    <n v="18"/>
    <n v="9"/>
    <n v="61"/>
    <n v="1.3333333333333333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4"/>
    <x v="5"/>
    <s v="7x13"/>
    <x v="0"/>
    <n v="15"/>
    <n v="17"/>
    <n v="7"/>
    <n v="39"/>
    <n v="0.88235294117647056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5"/>
    <x v="3"/>
    <s v="6x13"/>
    <x v="0"/>
    <n v="13"/>
    <n v="16"/>
    <n v="4"/>
    <n v="31"/>
    <n v="0.8125"/>
    <n v="2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26"/>
    <x v="6"/>
    <s v="6x13"/>
    <x v="0"/>
    <n v="14"/>
    <n v="16"/>
    <n v="2"/>
    <n v="32"/>
    <n v="0.875"/>
    <n v="2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27"/>
    <x v="0"/>
    <s v="13x9"/>
    <x v="1"/>
    <n v="19"/>
    <n v="16"/>
    <n v="2"/>
    <n v="44"/>
    <n v="1.1875"/>
    <n v="3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28"/>
    <x v="2"/>
    <s v="13x10"/>
    <x v="1"/>
    <n v="18"/>
    <n v="12"/>
    <n v="6"/>
    <n v="45"/>
    <n v="1.5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"/>
    <x v="0"/>
    <s v="9x13"/>
    <x v="0"/>
    <n v="19"/>
    <n v="18"/>
    <n v="4"/>
    <n v="52"/>
    <n v="1.0555555555555556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0"/>
    <x v="5"/>
    <s v="13x10"/>
    <x v="1"/>
    <n v="19"/>
    <n v="14"/>
    <n v="4"/>
    <n v="48"/>
    <n v="1.3571428571428572"/>
    <n v="2"/>
    <n v="3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31"/>
    <x v="2"/>
    <s v="10x13"/>
    <x v="0"/>
    <n v="12"/>
    <n v="14"/>
    <n v="5"/>
    <n v="34"/>
    <n v="0.8571428571428571"/>
    <n v="4"/>
    <n v="3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32"/>
    <x v="3"/>
    <s v="13x11"/>
    <x v="1"/>
    <n v="22"/>
    <n v="16"/>
    <n v="3"/>
    <n v="56"/>
    <n v="1.375"/>
    <n v="2"/>
    <n v="3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33"/>
    <x v="0"/>
    <s v="13x7"/>
    <x v="1"/>
    <n v="16"/>
    <n v="14"/>
    <n v="7"/>
    <n v="43"/>
    <n v="1.1428571428571428"/>
    <n v="3"/>
    <n v="3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</r>
  <r>
    <n v="134"/>
    <x v="0"/>
    <s v="16x14"/>
    <x v="1"/>
    <n v="19"/>
    <n v="20"/>
    <n v="5"/>
    <n v="48"/>
    <n v="0.95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5"/>
    <x v="0"/>
    <s v="13x11"/>
    <x v="1"/>
    <n v="20"/>
    <n v="16"/>
    <n v="3"/>
    <n v="43"/>
    <n v="1.25"/>
    <n v="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6"/>
    <x v="3"/>
    <s v="13x1"/>
    <x v="1"/>
    <n v="8"/>
    <n v="6"/>
    <n v="3"/>
    <n v="21"/>
    <n v="1.3333333333333333"/>
    <n v="5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37"/>
    <x v="4"/>
    <s v="9x13"/>
    <x v="0"/>
    <n v="14"/>
    <n v="18"/>
    <n v="6"/>
    <n v="37"/>
    <n v="0.77777777777777779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38"/>
    <x v="1"/>
    <s v="6x13"/>
    <x v="0"/>
    <n v="12"/>
    <n v="17"/>
    <n v="5"/>
    <n v="32"/>
    <n v="0.70588235294117652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39"/>
    <x v="2"/>
    <s v="13x6"/>
    <x v="1"/>
    <n v="18"/>
    <n v="11"/>
    <n v="4"/>
    <n v="45"/>
    <n v="1.6363636363636365"/>
    <n v="3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40"/>
    <x v="6"/>
    <s v="10x13"/>
    <x v="0"/>
    <n v="9"/>
    <n v="20"/>
    <n v="5"/>
    <n v="24"/>
    <n v="0.45"/>
    <n v="4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41"/>
    <x v="0"/>
    <s v="13x8"/>
    <x v="1"/>
    <n v="10"/>
    <n v="15"/>
    <n v="7"/>
    <n v="29"/>
    <n v="0.66666666666666663"/>
    <n v="4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42"/>
    <x v="5"/>
    <s v="10x13"/>
    <x v="0"/>
    <n v="15"/>
    <n v="18"/>
    <n v="7"/>
    <n v="37"/>
    <n v="0.83333333333333337"/>
    <n v="4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3"/>
    <x v="2"/>
    <s v="13x9"/>
    <x v="1"/>
    <n v="16"/>
    <n v="15"/>
    <n v="9"/>
    <n v="45"/>
    <n v="1.0666666666666667"/>
    <n v="3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4"/>
    <x v="6"/>
    <s v="8x13"/>
    <x v="0"/>
    <n v="17"/>
    <n v="17"/>
    <n v="4"/>
    <n v="45"/>
    <n v="1"/>
    <n v="2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5"/>
    <x v="3"/>
    <s v="16x12"/>
    <x v="1"/>
    <n v="19"/>
    <n v="23"/>
    <n v="5"/>
    <n v="46"/>
    <n v="0.82608695652173914"/>
    <n v="4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6"/>
    <x v="3"/>
    <s v="13x1"/>
    <x v="1"/>
    <n v="13"/>
    <n v="8"/>
    <n v="2"/>
    <n v="33"/>
    <n v="1.625"/>
    <n v="3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7"/>
    <x v="2"/>
    <s v="13x9"/>
    <x v="1"/>
    <n v="13"/>
    <n v="18"/>
    <n v="4"/>
    <n v="35"/>
    <n v="0.72222222222222221"/>
    <n v="4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8"/>
    <x v="2"/>
    <s v="13x9"/>
    <x v="1"/>
    <n v="10"/>
    <n v="15"/>
    <n v="7"/>
    <n v="29"/>
    <n v="0.66666666666666663"/>
    <n v="4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49"/>
    <x v="6"/>
    <s v="13x8"/>
    <x v="1"/>
    <n v="23"/>
    <n v="15"/>
    <n v="3"/>
    <n v="63"/>
    <n v="1.5333333333333334"/>
    <n v="1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50"/>
    <x v="5"/>
    <s v="15x15"/>
    <x v="2"/>
    <n v="17"/>
    <n v="21"/>
    <n v="10"/>
    <n v="43"/>
    <n v="0.80952380952380953"/>
    <n v="4"/>
    <n v="3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1"/>
    <x v="3"/>
    <s v="13x6"/>
    <x v="1"/>
    <n v="17"/>
    <n v="13"/>
    <n v="5"/>
    <n v="47"/>
    <n v="1.3076923076923077"/>
    <n v="2"/>
    <n v="3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2"/>
    <x v="1"/>
    <s v="13x6"/>
    <x v="1"/>
    <n v="18"/>
    <n v="11"/>
    <n v="6"/>
    <n v="51"/>
    <n v="1.6363636363636365"/>
    <n v="1"/>
    <n v="3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3"/>
    <x v="1"/>
    <s v="13x7"/>
    <x v="1"/>
    <n v="19"/>
    <n v="13"/>
    <n v="5"/>
    <n v="47"/>
    <n v="1.4615384615384615"/>
    <n v="3"/>
    <n v="4"/>
    <n v="1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4"/>
    <x v="3"/>
    <s v="13x11"/>
    <x v="1"/>
    <n v="15"/>
    <n v="13"/>
    <n v="3"/>
    <n v="49"/>
    <n v="1.1538461538461537"/>
    <n v="2"/>
    <n v="4"/>
    <n v="1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5"/>
    <x v="3"/>
    <s v="5x13"/>
    <x v="0"/>
    <n v="8"/>
    <n v="14"/>
    <n v="2"/>
    <n v="19"/>
    <n v="0.5714285714285714"/>
    <n v="5"/>
    <n v="4"/>
    <n v="1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</r>
  <r>
    <n v="156"/>
    <x v="6"/>
    <s v="13x3"/>
    <x v="1"/>
    <n v="13"/>
    <n v="7"/>
    <n v="4"/>
    <n v="38"/>
    <n v="1.8571428571428572"/>
    <n v="3"/>
    <n v="3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</r>
  <r>
    <n v="157"/>
    <x v="3"/>
    <s v="10x13"/>
    <x v="0"/>
    <n v="11"/>
    <n v="18"/>
    <n v="7"/>
    <n v="33"/>
    <n v="0.61111111111111116"/>
    <n v="3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58"/>
    <x v="3"/>
    <s v="15x15"/>
    <x v="2"/>
    <n v="29"/>
    <n v="20"/>
    <n v="11"/>
    <n v="73"/>
    <n v="1.45"/>
    <n v="1"/>
    <n v="3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59"/>
    <x v="6"/>
    <s v="11x13"/>
    <x v="0"/>
    <n v="22"/>
    <n v="16"/>
    <n v="8"/>
    <n v="65"/>
    <n v="1.375"/>
    <n v="1"/>
    <n v="4"/>
    <n v="1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</r>
  <r>
    <n v="160"/>
    <x v="3"/>
    <s v="13x6"/>
    <x v="1"/>
    <n v="15"/>
    <n v="14"/>
    <n v="8"/>
    <n v="41"/>
    <n v="1.0714285714285714"/>
    <n v="2"/>
    <n v="3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</r>
  <r>
    <n v="161"/>
    <x v="6"/>
    <s v="5x13"/>
    <x v="0"/>
    <n v="15"/>
    <n v="15"/>
    <n v="7"/>
    <n v="35"/>
    <n v="1"/>
    <n v="2"/>
    <n v="4"/>
    <n v="0"/>
    <n v="1"/>
    <n v="0"/>
    <n v="0"/>
    <n v="1"/>
    <n v="0"/>
    <n v="0"/>
    <n v="0"/>
    <n v="0"/>
    <n v="0"/>
    <n v="1"/>
    <n v="0"/>
    <n v="0"/>
    <n v="0"/>
    <n v="0"/>
    <n v="0"/>
    <n v="1"/>
    <n v="0"/>
    <n v="0"/>
    <n v="0"/>
  </r>
  <r>
    <n v="162"/>
    <x v="3"/>
    <s v="13x9"/>
    <x v="1"/>
    <n v="17"/>
    <n v="16"/>
    <n v="5"/>
    <n v="45"/>
    <n v="1.0625"/>
    <n v="4"/>
    <n v="4"/>
    <n v="0"/>
    <n v="1"/>
    <n v="0"/>
    <n v="0"/>
    <n v="1"/>
    <n v="0"/>
    <n v="0"/>
    <n v="0"/>
    <n v="0"/>
    <n v="0"/>
    <n v="1"/>
    <n v="0"/>
    <n v="0"/>
    <n v="0"/>
    <n v="0"/>
    <n v="0"/>
    <n v="1"/>
    <n v="0"/>
    <n v="0"/>
    <n v="0"/>
  </r>
  <r>
    <n v="163"/>
    <x v="3"/>
    <s v="13x11"/>
    <x v="1"/>
    <n v="16"/>
    <n v="18"/>
    <n v="8"/>
    <n v="41"/>
    <n v="0.88888888888888884"/>
    <n v="5"/>
    <n v="4"/>
    <n v="0"/>
    <n v="1"/>
    <n v="1"/>
    <n v="0"/>
    <n v="0"/>
    <n v="0"/>
    <n v="0"/>
    <n v="0"/>
    <n v="0"/>
    <n v="0"/>
    <n v="1"/>
    <n v="0"/>
    <n v="0"/>
    <n v="0"/>
    <n v="0"/>
    <n v="0"/>
    <n v="1"/>
    <n v="0"/>
    <n v="0"/>
    <n v="0"/>
  </r>
  <r>
    <n v="164"/>
    <x v="3"/>
    <s v="13x11"/>
    <x v="1"/>
    <n v="25"/>
    <n v="15"/>
    <n v="4"/>
    <n v="62"/>
    <n v="1.6666666666666667"/>
    <n v="1"/>
    <n v="4"/>
    <n v="0"/>
    <n v="1"/>
    <n v="1"/>
    <n v="0"/>
    <n v="0"/>
    <n v="0"/>
    <n v="0"/>
    <n v="0"/>
    <n v="0"/>
    <n v="0"/>
    <n v="1"/>
    <n v="0"/>
    <n v="0"/>
    <n v="0"/>
    <n v="0"/>
    <n v="0"/>
    <n v="1"/>
    <n v="0"/>
    <n v="0"/>
    <n v="0"/>
  </r>
  <r>
    <n v="165"/>
    <x v="3"/>
    <s v="10x13"/>
    <x v="0"/>
    <n v="11"/>
    <n v="18"/>
    <n v="8"/>
    <n v="33"/>
    <n v="0.61111111111111116"/>
    <n v="3"/>
    <n v="4"/>
    <n v="0"/>
    <n v="1"/>
    <n v="1"/>
    <n v="0"/>
    <n v="0"/>
    <n v="0"/>
    <n v="0"/>
    <n v="0"/>
    <n v="0"/>
    <n v="0"/>
    <n v="1"/>
    <n v="0"/>
    <n v="0"/>
    <n v="0"/>
    <n v="0"/>
    <n v="0"/>
    <n v="1"/>
    <n v="0"/>
    <n v="0"/>
    <n v="0"/>
  </r>
  <r>
    <n v="166"/>
    <x v="5"/>
    <s v="13x10"/>
    <x v="1"/>
    <n v="20"/>
    <n v="10"/>
    <n v="4"/>
    <n v="73"/>
    <n v="2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7"/>
    <x v="3"/>
    <s v="6x13"/>
    <x v="0"/>
    <n v="16"/>
    <n v="17"/>
    <n v="5"/>
    <n v="40"/>
    <n v="0.94117647058823528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8"/>
    <x v="0"/>
    <s v="13x16"/>
    <x v="0"/>
    <n v="26"/>
    <n v="19"/>
    <n v="5"/>
    <n v="67"/>
    <n v="1.368421052631579"/>
    <n v="1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9"/>
    <x v="1"/>
    <s v="13x3"/>
    <x v="1"/>
    <n v="17"/>
    <n v="7"/>
    <n v="1"/>
    <n v="47"/>
    <n v="2.4285714285714284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70"/>
    <x v="5"/>
    <s v="6x13"/>
    <x v="0"/>
    <n v="16"/>
    <n v="16"/>
    <n v="3"/>
    <n v="41"/>
    <n v="1"/>
    <n v="2"/>
    <n v="4"/>
    <n v="1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n v="171"/>
    <x v="1"/>
    <s v="13x7"/>
    <x v="1"/>
    <n v="22"/>
    <n v="11"/>
    <n v="1"/>
    <n v="49"/>
    <n v="2"/>
    <n v="1"/>
    <n v="4"/>
    <n v="1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n v="172"/>
    <x v="1"/>
    <s v="10x13"/>
    <x v="0"/>
    <n v="12"/>
    <n v="19"/>
    <n v="5"/>
    <n v="25"/>
    <n v="0.63157894736842102"/>
    <n v="2"/>
    <n v="4"/>
    <n v="1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n v="173"/>
    <x v="2"/>
    <s v="10x13"/>
    <x v="0"/>
    <n v="14"/>
    <n v="19"/>
    <n v="2"/>
    <n v="39"/>
    <n v="0.73684210526315785"/>
    <n v="2"/>
    <n v="4"/>
    <n v="1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n v="174"/>
    <x v="3"/>
    <s v="11x13"/>
    <x v="0"/>
    <n v="20"/>
    <n v="16"/>
    <n v="5"/>
    <n v="52"/>
    <n v="1.25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5"/>
    <x v="6"/>
    <s v="10x13"/>
    <x v="0"/>
    <n v="20"/>
    <n v="16"/>
    <n v="5"/>
    <n v="53"/>
    <n v="1.25"/>
    <n v="1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76"/>
    <x v="4"/>
    <s v="12x3"/>
    <x v="1"/>
    <n v="8"/>
    <n v="10"/>
    <n v="6"/>
    <n v="31"/>
    <n v="0.8"/>
    <n v="4"/>
    <n v="4"/>
    <n v="0"/>
    <n v="1"/>
    <n v="1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77"/>
    <x v="3"/>
    <s v="13x9"/>
    <x v="1"/>
    <n v="9"/>
    <n v="18"/>
    <n v="3"/>
    <n v="24"/>
    <n v="0.5"/>
    <n v="5"/>
    <n v="4"/>
    <n v="0"/>
    <n v="1"/>
    <n v="1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78"/>
    <x v="1"/>
    <s v="16x14"/>
    <x v="1"/>
    <n v="21"/>
    <n v="22"/>
    <n v="6"/>
    <n v="56"/>
    <n v="0.95454545454545459"/>
    <n v="3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79"/>
    <x v="0"/>
    <s v="9x13"/>
    <x v="0"/>
    <n v="7"/>
    <n v="19"/>
    <n v="3"/>
    <n v="22"/>
    <n v="0.36842105263157893"/>
    <n v="5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80"/>
    <x v="3"/>
    <s v="7x13"/>
    <x v="0"/>
    <n v="12"/>
    <n v="18"/>
    <n v="1"/>
    <n v="26"/>
    <n v="0.66666666666666663"/>
    <n v="5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81"/>
    <x v="5"/>
    <s v="13x5"/>
    <x v="1"/>
    <n v="21"/>
    <n v="8"/>
    <n v="5"/>
    <n v="52"/>
    <n v="2.625"/>
    <n v="1"/>
    <n v="4"/>
    <n v="0"/>
    <n v="0"/>
    <n v="0"/>
    <n v="0"/>
    <n v="1"/>
    <n v="0"/>
    <n v="0"/>
    <n v="0"/>
    <n v="0"/>
    <n v="0"/>
    <n v="0"/>
    <n v="0"/>
    <n v="0"/>
    <n v="1"/>
    <n v="0"/>
    <n v="0"/>
    <n v="0"/>
    <n v="1"/>
    <n v="1"/>
    <n v="0"/>
  </r>
  <r>
    <n v="182"/>
    <x v="3"/>
    <s v="13x9"/>
    <x v="1"/>
    <n v="15"/>
    <n v="17"/>
    <n v="11"/>
    <n v="42"/>
    <n v="0.8823529411764705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3"/>
    <x v="0"/>
    <s v="13x3"/>
    <x v="1"/>
    <n v="18"/>
    <n v="7"/>
    <n v="6"/>
    <n v="50"/>
    <n v="2.57142857142857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4"/>
    <x v="0"/>
    <s v="13x9"/>
    <x v="1"/>
    <n v="15"/>
    <n v="13"/>
    <n v="2"/>
    <n v="48"/>
    <n v="1.153846153846153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5"/>
    <x v="3"/>
    <s v="5x13"/>
    <x v="0"/>
    <n v="7"/>
    <n v="15"/>
    <n v="4"/>
    <n v="22"/>
    <n v="0.4666666666666666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6"/>
    <x v="0"/>
    <s v="4x13"/>
    <x v="0"/>
    <n v="12"/>
    <n v="16"/>
    <n v="3"/>
    <n v="27"/>
    <n v="0.75"/>
    <n v="2"/>
    <n v="4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</r>
  <r>
    <n v="187"/>
    <x v="2"/>
    <s v="9x13"/>
    <x v="0"/>
    <n v="16"/>
    <n v="19"/>
    <n v="1"/>
    <n v="36"/>
    <n v="0.84210526315789469"/>
    <n v="3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88"/>
    <x v="0"/>
    <s v="13x1"/>
    <x v="1"/>
    <n v="18"/>
    <n v="5"/>
    <n v="5"/>
    <n v="37"/>
    <n v="3.6"/>
    <n v="2"/>
    <n v="4"/>
    <n v="0"/>
    <n v="0"/>
    <n v="0"/>
    <n v="0"/>
    <n v="1"/>
    <n v="0"/>
    <n v="0"/>
    <n v="0"/>
    <n v="0"/>
    <n v="0"/>
    <n v="0"/>
    <n v="0"/>
    <n v="0"/>
    <n v="1"/>
    <n v="0"/>
    <n v="0"/>
    <n v="0"/>
    <n v="1"/>
    <n v="1"/>
    <n v="0"/>
  </r>
  <r>
    <n v="189"/>
    <x v="1"/>
    <s v="16x14"/>
    <x v="1"/>
    <n v="37"/>
    <n v="21"/>
    <n v="6"/>
    <n v="93"/>
    <n v="1.7619047619047619"/>
    <n v="1"/>
    <n v="4"/>
    <n v="0"/>
    <n v="0"/>
    <n v="0"/>
    <n v="0"/>
    <n v="1"/>
    <n v="0"/>
    <n v="0"/>
    <n v="0"/>
    <n v="0"/>
    <n v="0"/>
    <n v="0"/>
    <n v="0"/>
    <n v="0"/>
    <n v="1"/>
    <n v="0"/>
    <n v="0"/>
    <n v="0"/>
    <n v="1"/>
    <n v="1"/>
    <n v="0"/>
  </r>
  <r>
    <n v="190"/>
    <x v="3"/>
    <s v="5x13"/>
    <x v="0"/>
    <n v="7"/>
    <n v="15"/>
    <n v="1"/>
    <n v="20"/>
    <n v="0.4666666666666666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1"/>
    <x v="5"/>
    <s v="15x15"/>
    <x v="2"/>
    <n v="25"/>
    <n v="25"/>
    <n v="7"/>
    <n v="64"/>
    <n v="1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92"/>
    <x v="3"/>
    <s v="3x13"/>
    <x v="0"/>
    <n v="0"/>
    <n v="16"/>
    <n v="7"/>
    <n v="6"/>
    <n v="0"/>
    <n v="5"/>
    <n v="4"/>
    <n v="1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193"/>
    <x v="0"/>
    <s v="9x13"/>
    <x v="0"/>
    <n v="18"/>
    <n v="19"/>
    <n v="7"/>
    <n v="45"/>
    <n v="0.94736842105263153"/>
    <n v="3"/>
    <n v="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94"/>
    <x v="3"/>
    <s v="13x10"/>
    <x v="1"/>
    <n v="13"/>
    <n v="19"/>
    <n v="5"/>
    <n v="32"/>
    <n v="0.68421052631578949"/>
    <n v="5"/>
    <n v="4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195"/>
    <x v="5"/>
    <s v="14x16"/>
    <x v="0"/>
    <n v="22"/>
    <n v="24"/>
    <n v="8"/>
    <n v="59"/>
    <n v="0.91666666666666663"/>
    <n v="3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6"/>
    <x v="3"/>
    <s v="13x11"/>
    <x v="1"/>
    <n v="13"/>
    <n v="21"/>
    <n v="6"/>
    <n v="36"/>
    <n v="0.61904761904761907"/>
    <n v="5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7"/>
    <x v="3"/>
    <s v="13x9"/>
    <x v="1"/>
    <n v="19"/>
    <n v="14"/>
    <n v="4"/>
    <n v="47"/>
    <n v="1.3571428571428572"/>
    <n v="3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98"/>
    <x v="4"/>
    <s v="13x11"/>
    <x v="1"/>
    <n v="12"/>
    <n v="19"/>
    <n v="9"/>
    <n v="41"/>
    <n v="0.63157894736842102"/>
    <n v="3"/>
    <n v="4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199"/>
    <x v="0"/>
    <s v="8x13"/>
    <x v="0"/>
    <n v="10"/>
    <n v="19"/>
    <n v="4"/>
    <n v="56"/>
    <n v="0.52631578947368418"/>
    <n v="1"/>
    <n v="3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200"/>
    <x v="3"/>
    <s v="16x14"/>
    <x v="1"/>
    <n v="20"/>
    <n v="24"/>
    <n v="10"/>
    <n v="55"/>
    <n v="0.83333333333333337"/>
    <n v="3"/>
    <n v="3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201"/>
    <x v="0"/>
    <s v="3x13"/>
    <x v="0"/>
    <n v="6"/>
    <n v="14"/>
    <n v="4"/>
    <n v="22"/>
    <n v="0.42857142857142855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02"/>
    <x v="2"/>
    <s v="13x5"/>
    <x v="1"/>
    <n v="18"/>
    <n v="7"/>
    <n v="5"/>
    <n v="42"/>
    <n v="2.5714285714285716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03"/>
    <x v="1"/>
    <s v="11x13"/>
    <x v="0"/>
    <n v="15"/>
    <n v="20"/>
    <n v="2"/>
    <n v="38"/>
    <n v="0.75"/>
    <n v="4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04"/>
    <x v="0"/>
    <s v="8x13"/>
    <x v="0"/>
    <n v="8"/>
    <n v="17"/>
    <n v="4"/>
    <n v="22"/>
    <n v="0.47058823529411764"/>
    <n v="5"/>
    <n v="2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</r>
  <r>
    <n v="205"/>
    <x v="2"/>
    <s v="7x13"/>
    <x v="0"/>
    <n v="16"/>
    <n v="18"/>
    <n v="4"/>
    <n v="34"/>
    <n v="0.88888888888888884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06"/>
    <x v="3"/>
    <s v="13x10"/>
    <x v="1"/>
    <n v="20"/>
    <n v="19"/>
    <n v="8"/>
    <n v="52"/>
    <n v="1.0526315789473684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7"/>
    <x v="4"/>
    <s v="13x1"/>
    <x v="1"/>
    <n v="14"/>
    <n v="8"/>
    <n v="6"/>
    <n v="36"/>
    <n v="1.75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8"/>
    <x v="1"/>
    <s v="13x6"/>
    <x v="1"/>
    <n v="18"/>
    <n v="11"/>
    <n v="6"/>
    <n v="49"/>
    <n v="1.6363636363636365"/>
    <n v="3"/>
    <n v="4"/>
    <n v="1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n v="209"/>
    <x v="3"/>
    <s v="13x9"/>
    <x v="1"/>
    <n v="10"/>
    <n v="18"/>
    <n v="7"/>
    <n v="33"/>
    <n v="0.55555555555555558"/>
    <n v="5"/>
    <n v="4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10"/>
    <x v="3"/>
    <s v="13x8"/>
    <x v="1"/>
    <n v="14"/>
    <n v="18"/>
    <n v="4"/>
    <n v="39"/>
    <n v="0.77777777777777779"/>
    <n v="4"/>
    <n v="4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11"/>
    <x v="4"/>
    <s v="11x13"/>
    <x v="0"/>
    <n v="9"/>
    <n v="18"/>
    <n v="8"/>
    <n v="25"/>
    <n v="0.5"/>
    <n v="5"/>
    <n v="4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12"/>
    <x v="5"/>
    <s v="13x10"/>
    <x v="1"/>
    <n v="20"/>
    <n v="16"/>
    <n v="5"/>
    <n v="60"/>
    <n v="1.25"/>
    <n v="1"/>
    <n v="3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13"/>
    <x v="5"/>
    <s v="13x10"/>
    <x v="1"/>
    <n v="15"/>
    <n v="17"/>
    <n v="8"/>
    <n v="46"/>
    <n v="0.88235294117647056"/>
    <n v="3"/>
    <n v="3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14"/>
    <x v="0"/>
    <s v="13x3"/>
    <x v="1"/>
    <n v="20"/>
    <n v="10"/>
    <n v="4"/>
    <n v="63"/>
    <n v="2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15"/>
    <x v="3"/>
    <s v="13x10"/>
    <x v="1"/>
    <n v="18"/>
    <n v="21"/>
    <n v="3"/>
    <n v="44"/>
    <n v="0.8571428571428571"/>
    <n v="4"/>
    <n v="3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216"/>
    <x v="1"/>
    <s v="13x4"/>
    <x v="1"/>
    <n v="15"/>
    <n v="9"/>
    <n v="2"/>
    <n v="35"/>
    <n v="1.6666666666666667"/>
    <n v="3"/>
    <n v="3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217"/>
    <x v="3"/>
    <s v="9x13"/>
    <x v="0"/>
    <n v="14"/>
    <n v="16"/>
    <n v="2"/>
    <n v="38"/>
    <n v="0.875"/>
    <n v="3"/>
    <n v="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18"/>
    <x v="0"/>
    <s v="9x13"/>
    <x v="0"/>
    <n v="21"/>
    <n v="17"/>
    <n v="0"/>
    <n v="43"/>
    <n v="1.2352941176470589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19"/>
    <x v="3"/>
    <s v="8x13"/>
    <x v="0"/>
    <n v="10"/>
    <n v="18"/>
    <n v="4"/>
    <n v="23"/>
    <n v="0.55555555555555558"/>
    <n v="5"/>
    <n v="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n v="220"/>
    <x v="0"/>
    <s v="10x13"/>
    <x v="0"/>
    <n v="10"/>
    <n v="18"/>
    <n v="6"/>
    <n v="28"/>
    <n v="0.55555555555555558"/>
    <n v="5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221"/>
    <x v="3"/>
    <s v="8x13"/>
    <x v="0"/>
    <n v="14"/>
    <n v="15"/>
    <n v="2"/>
    <n v="41"/>
    <n v="0.93333333333333335"/>
    <n v="2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222"/>
    <x v="2"/>
    <s v="13x11"/>
    <x v="1"/>
    <n v="17"/>
    <n v="12"/>
    <n v="2"/>
    <n v="38"/>
    <n v="1.4166666666666667"/>
    <n v="3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n v="223"/>
    <x v="7"/>
    <m/>
    <x v="3"/>
    <m/>
    <m/>
    <m/>
    <m/>
    <e v="#DIV/0!"/>
    <m/>
    <n v="0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15260-06B6-4B9B-93D2-8F6D7D7724A9}" name="Tabela dinâmica3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1" firstHeaderRow="1" firstDataRow="2" firstDataCol="1"/>
  <pivotFields count="31">
    <pivotField dataField="1" showAll="0"/>
    <pivotField showAll="0"/>
    <pivotField showAll="0"/>
    <pivotField axis="axisCol" showAll="0">
      <items count="5">
        <item x="2"/>
        <item x="0"/>
        <item x="1"/>
        <item m="1" x="3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3"/>
  </colFields>
  <colItems count="4">
    <i>
      <x/>
    </i>
    <i>
      <x v="1"/>
    </i>
    <i>
      <x v="2"/>
    </i>
    <i t="grand">
      <x/>
    </i>
  </colItems>
  <dataFields count="7">
    <dataField name="Contagem de Match nº" fld="0" subtotal="count" baseField="11" baseItem="1"/>
    <dataField name="Soma de LEO" fld="12" baseField="0" baseItem="0"/>
    <dataField name="Soma de HAMMER" fld="11" baseField="0" baseItem="0"/>
    <dataField name="Soma de PILOTO WILLY" fld="13" baseField="0" baseItem="0"/>
    <dataField name="Soma de LAKES" fld="15" baseField="0" baseItem="0"/>
    <dataField name="Soma de JÃO" fld="14" baseField="0" baseItem="0"/>
    <dataField name="Soma de NOT" fld="21" baseField="0" baseItem="0"/>
  </dataFields>
  <formats count="1">
    <format dxfId="45">
      <pivotArea dataOnly="0" outline="0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40F36-A01C-4F80-BEDD-8C63E240583C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L3:AM30" firstHeaderRow="1" firstDataRow="1" firstDataCol="1"/>
  <pivotFields count="31">
    <pivotField showAll="0"/>
    <pivotField axis="axisRow" dataField="1" showAll="0">
      <items count="9">
        <item x="4"/>
        <item x="2"/>
        <item x="0"/>
        <item x="3"/>
        <item x="1"/>
        <item x="5"/>
        <item x="7"/>
        <item x="6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27">
    <i>
      <x/>
    </i>
    <i r="1">
      <x/>
    </i>
    <i r="1">
      <x v="2"/>
    </i>
    <i>
      <x v="1"/>
    </i>
    <i r="1">
      <x/>
    </i>
    <i r="1">
      <x v="2"/>
    </i>
    <i>
      <x v="2"/>
    </i>
    <i r="1">
      <x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 v="3"/>
    </i>
    <i>
      <x v="7"/>
    </i>
    <i r="1">
      <x/>
    </i>
    <i r="1">
      <x v="2"/>
    </i>
    <i t="grand">
      <x/>
    </i>
  </rowItems>
  <colItems count="1">
    <i/>
  </colItems>
  <dataFields count="1">
    <dataField name="Contagem de Map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BF49C-4045-4C17-BBB5-660C5BA56314}" name="Tabela1" displayName="Tabela1" ref="A1:AE231" totalsRowCount="1">
  <autoFilter ref="A1:AE230" xr:uid="{448BF49C-4045-4C17-BBB5-660C5BA56314}"/>
  <tableColumns count="31">
    <tableColumn id="1" xr3:uid="{2D7E4950-D31A-4381-849B-E8C7F5F27387}" name="Match nº" totalsRowLabel="Total" dataDxfId="71">
      <calculatedColumnFormula>ROW()-1</calculatedColumnFormula>
    </tableColumn>
    <tableColumn id="2" xr3:uid="{B2EC01C3-BBD5-4F7F-B8D4-3969DDD8B76A}" name="Mapa"/>
    <tableColumn id="3" xr3:uid="{686627B7-4557-4A72-A648-7AA8478BD649}" name="Placar"/>
    <tableColumn id="4" xr3:uid="{76BEB046-51E2-4643-90B4-62045CBEE863}" name="Resultado"/>
    <tableColumn id="5" xr3:uid="{B76B2062-2D62-4D09-A9B2-521AEE1F1B77}" name="K" totalsRowFunction="sum" dataDxfId="70" totalsRowDxfId="41"/>
    <tableColumn id="6" xr3:uid="{DF5D4BF4-D824-42EC-92E7-A8417779A4A5}" name="D" totalsRowFunction="sum" dataDxfId="69" totalsRowDxfId="40"/>
    <tableColumn id="7" xr3:uid="{67B23F49-2D70-4A87-BBAF-C4DDC9B46082}" name="A" totalsRowFunction="sum" dataDxfId="68" totalsRowDxfId="39"/>
    <tableColumn id="8" xr3:uid="{915DCFB2-49D7-472A-9AE3-D190CA84B98E}" name="PTS" totalsRowFunction="average" dataDxfId="67" totalsRowDxfId="38"/>
    <tableColumn id="17" xr3:uid="{8ACB14EC-A871-41E1-BC4A-79BA48E6AC72}" name="KDR" totalsRowFunction="average" dataDxfId="66" totalsRowDxfId="37">
      <calculatedColumnFormula>E2/F2</calculatedColumnFormula>
    </tableColumn>
    <tableColumn id="9" xr3:uid="{C83E2173-2074-4546-BB06-C49F1D6511DA}" name="Place (PTS)" totalsRowFunction="average" totalsRowDxfId="36"/>
    <tableColumn id="10" xr3:uid="{60E63FB9-AABE-4E4C-A5AC-80CB48F5C9D2}" name="Amigos" totalsRowFunction="max">
      <calculatedColumnFormula>SUM(L2:AE2)</calculatedColumnFormula>
    </tableColumn>
    <tableColumn id="11" xr3:uid="{1C966612-42F6-4278-9D7D-8D671A58C12C}" name="HAMMER" totalsRowFunction="sum" dataDxfId="65" totalsRowDxfId="35"/>
    <tableColumn id="12" xr3:uid="{7A0FBBDA-8758-495B-9489-69D43698C7C9}" name="LEO" totalsRowFunction="sum" dataDxfId="64" totalsRowDxfId="34"/>
    <tableColumn id="13" xr3:uid="{D2FBEE0C-6A83-42F8-B891-85F05E5B995A}" name="PILOTO WILLY" totalsRowFunction="sum" dataDxfId="63" totalsRowDxfId="33"/>
    <tableColumn id="26" xr3:uid="{48EC9439-6E05-477D-8B59-54B4EBC4C485}" name="JÃO" totalsRowFunction="sum" dataDxfId="62" totalsRowDxfId="32"/>
    <tableColumn id="14" xr3:uid="{1BD4E206-6921-4821-B50A-99C23B6E30E0}" name="LAKES" totalsRowFunction="sum" dataDxfId="61" totalsRowDxfId="31"/>
    <tableColumn id="15" xr3:uid="{C8172360-F52F-490D-9AF8-628AD13D2378}" name="MANZA" totalsRowFunction="sum" dataDxfId="60" totalsRowDxfId="30"/>
    <tableColumn id="16" xr3:uid="{4CCE4B85-77EB-497D-BB4A-EDB524EA9B22}" name="VAQUEIRO" totalsRowFunction="sum" dataDxfId="59" totalsRowDxfId="29"/>
    <tableColumn id="19" xr3:uid="{43DA7BE1-6FB2-48F2-B740-F118A9998010}" name="GABEN" totalsRowFunction="sum" dataDxfId="58" totalsRowDxfId="28"/>
    <tableColumn id="23" xr3:uid="{45A02375-42C6-4975-A342-F0D37DC3C6AF}" name="ARAGON" totalsRowFunction="sum" dataDxfId="57" totalsRowDxfId="27"/>
    <tableColumn id="24" xr3:uid="{8AD5199B-5A0B-45AA-9EA2-2FF89EF3F034}" name="BRUNOMS25" totalsRowFunction="sum" dataDxfId="56" totalsRowDxfId="26"/>
    <tableColumn id="20" xr3:uid="{EBEC7DE4-0666-4A88-A625-6D683B7B9C52}" name="NOT" totalsRowFunction="sum" dataDxfId="55" totalsRowDxfId="25"/>
    <tableColumn id="29" xr3:uid="{B11F58BA-D933-4CD5-8CCF-C70FABF9AAB5}" name="SRX" totalsRowFunction="sum" dataDxfId="54" totalsRowDxfId="24"/>
    <tableColumn id="25" xr3:uid="{56674356-D78A-42AB-A29F-C211A6F9EFB0}" name="ANGELZERA" totalsRowFunction="sum" dataDxfId="53" totalsRowDxfId="23"/>
    <tableColumn id="21" xr3:uid="{92BEB835-3AA2-49FE-A3F3-6611C3CB1D8E}" name="MODS" totalsRowFunction="sum" dataDxfId="52" totalsRowDxfId="22"/>
    <tableColumn id="27" xr3:uid="{A5B6A027-4E70-4016-8CE1-C6F35367C7F5}" name="BELLONES" totalsRowFunction="sum" dataDxfId="51" totalsRowDxfId="21"/>
    <tableColumn id="18" xr3:uid="{EFD00AB2-E794-4AC8-9C9F-2C14188F429D}" name="AUGUSTO" totalsRowFunction="sum" dataDxfId="50" totalsRowDxfId="20"/>
    <tableColumn id="28" xr3:uid="{B71E9C9D-3288-49E6-BBC2-F808EEF9F58C}" name="ERROR" totalsRowFunction="sum" dataDxfId="49" totalsRowDxfId="19"/>
    <tableColumn id="30" xr3:uid="{5FC07AD7-E805-48AC-B54A-40E992A532E0}" name="NAKAI" totalsRowFunction="sum" dataDxfId="48" totalsRowDxfId="18"/>
    <tableColumn id="31" xr3:uid="{9252CDFC-893B-492D-B359-3FE3E5547958}" name="ERIC" totalsRowFunction="sum" dataDxfId="47" totalsRowDxfId="17"/>
    <tableColumn id="22" xr3:uid="{4685FF5A-2C4A-4A6F-AF84-AF9532FD3EC4}" name="FREZA" totalsRowFunction="sum" dataDxfId="46" totalsRow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B156-1033-4766-8F21-561AA30800ED}">
  <dimension ref="A3:E11"/>
  <sheetViews>
    <sheetView workbookViewId="0">
      <selection activeCell="H14" sqref="H14"/>
    </sheetView>
  </sheetViews>
  <sheetFormatPr defaultRowHeight="15" x14ac:dyDescent="0.25"/>
  <cols>
    <col min="1" max="1" width="21.140625" bestFit="1" customWidth="1"/>
    <col min="2" max="2" width="20.140625" bestFit="1" customWidth="1"/>
    <col min="3" max="3" width="3" bestFit="1" customWidth="1"/>
    <col min="4" max="4" width="4" bestFit="1" customWidth="1"/>
    <col min="5" max="6" width="10.7109375" bestFit="1" customWidth="1"/>
    <col min="7" max="8" width="2" bestFit="1" customWidth="1"/>
    <col min="9" max="15" width="3" bestFit="1" customWidth="1"/>
    <col min="16" max="16" width="12" bestFit="1" customWidth="1"/>
    <col min="17" max="32" width="3" bestFit="1" customWidth="1"/>
    <col min="33" max="33" width="6.85546875" bestFit="1" customWidth="1"/>
    <col min="34" max="34" width="3.85546875" bestFit="1" customWidth="1"/>
    <col min="35" max="35" width="2" bestFit="1" customWidth="1"/>
    <col min="36" max="89" width="3" bestFit="1" customWidth="1"/>
    <col min="90" max="90" width="6.85546875" bestFit="1" customWidth="1"/>
    <col min="91" max="91" width="10.7109375" bestFit="1" customWidth="1"/>
  </cols>
  <sheetData>
    <row r="3" spans="1:5" x14ac:dyDescent="0.25">
      <c r="B3" s="6" t="s">
        <v>70</v>
      </c>
    </row>
    <row r="4" spans="1:5" x14ac:dyDescent="0.25">
      <c r="A4" s="6" t="s">
        <v>79</v>
      </c>
      <c r="B4" s="12" t="s">
        <v>5</v>
      </c>
      <c r="C4" t="s">
        <v>12</v>
      </c>
      <c r="D4" t="s">
        <v>13</v>
      </c>
      <c r="E4" t="s">
        <v>42</v>
      </c>
    </row>
    <row r="5" spans="1:5" x14ac:dyDescent="0.25">
      <c r="A5" s="5" t="s">
        <v>69</v>
      </c>
      <c r="B5" s="12">
        <v>8</v>
      </c>
      <c r="C5">
        <v>93</v>
      </c>
      <c r="D5">
        <v>101</v>
      </c>
      <c r="E5">
        <v>202</v>
      </c>
    </row>
    <row r="6" spans="1:5" x14ac:dyDescent="0.25">
      <c r="A6" s="5" t="s">
        <v>82</v>
      </c>
      <c r="B6" s="12">
        <v>5</v>
      </c>
      <c r="C6">
        <v>51</v>
      </c>
      <c r="D6">
        <v>55</v>
      </c>
      <c r="E6">
        <v>111</v>
      </c>
    </row>
    <row r="7" spans="1:5" x14ac:dyDescent="0.25">
      <c r="A7" s="5" t="s">
        <v>80</v>
      </c>
      <c r="B7" s="12">
        <v>4</v>
      </c>
      <c r="C7">
        <v>56</v>
      </c>
      <c r="D7">
        <v>43</v>
      </c>
      <c r="E7">
        <v>103</v>
      </c>
    </row>
    <row r="8" spans="1:5" x14ac:dyDescent="0.25">
      <c r="A8" s="5" t="s">
        <v>81</v>
      </c>
      <c r="B8" s="12">
        <v>4</v>
      </c>
      <c r="C8">
        <v>37</v>
      </c>
      <c r="D8">
        <v>44</v>
      </c>
      <c r="E8">
        <v>85</v>
      </c>
    </row>
    <row r="9" spans="1:5" x14ac:dyDescent="0.25">
      <c r="A9" s="5" t="s">
        <v>83</v>
      </c>
      <c r="B9" s="12">
        <v>1</v>
      </c>
      <c r="C9">
        <v>29</v>
      </c>
      <c r="D9">
        <v>28</v>
      </c>
      <c r="E9">
        <v>58</v>
      </c>
    </row>
    <row r="10" spans="1:5" x14ac:dyDescent="0.25">
      <c r="A10" s="5" t="s">
        <v>84</v>
      </c>
      <c r="B10" s="12">
        <v>1</v>
      </c>
      <c r="C10">
        <v>6</v>
      </c>
      <c r="D10">
        <v>12</v>
      </c>
      <c r="E10">
        <v>19</v>
      </c>
    </row>
    <row r="11" spans="1:5" x14ac:dyDescent="0.25">
      <c r="A11" s="5" t="s">
        <v>87</v>
      </c>
      <c r="B11" s="12">
        <v>3</v>
      </c>
      <c r="C11">
        <v>18</v>
      </c>
      <c r="D11">
        <v>24</v>
      </c>
      <c r="E11">
        <v>45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37B2-5A6C-4565-97D9-856DE5F12779}">
  <dimension ref="A1:AM231"/>
  <sheetViews>
    <sheetView tabSelected="1" topLeftCell="A187" zoomScale="85" zoomScaleNormal="85" workbookViewId="0">
      <selection activeCell="AE199" sqref="AE199"/>
    </sheetView>
  </sheetViews>
  <sheetFormatPr defaultRowHeight="15" x14ac:dyDescent="0.25"/>
  <cols>
    <col min="1" max="1" width="11.140625" bestFit="1" customWidth="1"/>
    <col min="2" max="2" width="10" bestFit="1" customWidth="1"/>
    <col min="3" max="3" width="8.7109375" bestFit="1" customWidth="1"/>
    <col min="4" max="4" width="12.42578125" bestFit="1" customWidth="1"/>
    <col min="5" max="5" width="5" style="4" bestFit="1" customWidth="1"/>
    <col min="6" max="6" width="5.28515625" style="4" bestFit="1" customWidth="1"/>
    <col min="7" max="7" width="5.140625" style="4" bestFit="1" customWidth="1"/>
    <col min="8" max="8" width="6.5703125" style="4" bestFit="1" customWidth="1"/>
    <col min="9" max="9" width="6.5703125" style="4" customWidth="1"/>
    <col min="10" max="10" width="14.28515625" customWidth="1"/>
    <col min="11" max="11" width="13.28515625" bestFit="1" customWidth="1"/>
    <col min="12" max="13" width="13.28515625" customWidth="1"/>
    <col min="14" max="14" width="16" bestFit="1" customWidth="1"/>
    <col min="15" max="27" width="13.28515625" customWidth="1"/>
    <col min="28" max="28" width="14.5703125" bestFit="1" customWidth="1"/>
    <col min="29" max="29" width="14.5703125" customWidth="1"/>
    <col min="30" max="30" width="9.85546875" customWidth="1"/>
    <col min="31" max="31" width="16.7109375" customWidth="1"/>
    <col min="32" max="33" width="9.85546875" customWidth="1"/>
    <col min="34" max="34" width="9.85546875" bestFit="1" customWidth="1"/>
    <col min="35" max="35" width="9.85546875" customWidth="1"/>
    <col min="36" max="39" width="18.42578125" bestFit="1" customWidth="1"/>
    <col min="40" max="42" width="23.28515625" bestFit="1" customWidth="1"/>
    <col min="43" max="43" width="15.855468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45</v>
      </c>
      <c r="J1" t="s">
        <v>22</v>
      </c>
      <c r="K1" t="s">
        <v>8</v>
      </c>
      <c r="L1" t="s">
        <v>35</v>
      </c>
      <c r="M1" t="s">
        <v>36</v>
      </c>
      <c r="N1" t="s">
        <v>37</v>
      </c>
      <c r="O1" t="s">
        <v>68</v>
      </c>
      <c r="P1" t="s">
        <v>38</v>
      </c>
      <c r="Q1" t="s">
        <v>39</v>
      </c>
      <c r="R1" t="s">
        <v>40</v>
      </c>
      <c r="S1" t="s">
        <v>53</v>
      </c>
      <c r="T1" t="s">
        <v>59</v>
      </c>
      <c r="U1" t="s">
        <v>60</v>
      </c>
      <c r="V1" t="s">
        <v>65</v>
      </c>
      <c r="W1" t="s">
        <v>86</v>
      </c>
      <c r="X1" t="s">
        <v>67</v>
      </c>
      <c r="Y1" t="s">
        <v>55</v>
      </c>
      <c r="Z1" t="s">
        <v>75</v>
      </c>
      <c r="AA1" t="s">
        <v>76</v>
      </c>
      <c r="AB1" t="s">
        <v>77</v>
      </c>
      <c r="AC1" t="s">
        <v>91</v>
      </c>
      <c r="AD1" t="s">
        <v>92</v>
      </c>
      <c r="AE1" t="s">
        <v>56</v>
      </c>
    </row>
    <row r="2" spans="1:39" x14ac:dyDescent="0.25">
      <c r="A2">
        <f t="shared" ref="A2:A7" si="0">ROW()-1</f>
        <v>1</v>
      </c>
      <c r="B2" t="s">
        <v>9</v>
      </c>
      <c r="C2" s="1" t="s">
        <v>15</v>
      </c>
      <c r="D2" t="s">
        <v>12</v>
      </c>
      <c r="E2" s="4">
        <v>21</v>
      </c>
      <c r="F2" s="4">
        <v>21</v>
      </c>
      <c r="G2" s="4">
        <v>6</v>
      </c>
      <c r="H2" s="4">
        <v>62</v>
      </c>
      <c r="I2" s="8">
        <f t="shared" ref="I2:I36" si="1">E2/F2</f>
        <v>1</v>
      </c>
      <c r="J2">
        <v>2</v>
      </c>
      <c r="K2">
        <f t="shared" ref="K2:K33" si="2">SUM(L2:AE2)</f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</row>
    <row r="3" spans="1:39" x14ac:dyDescent="0.25">
      <c r="A3">
        <f t="shared" si="0"/>
        <v>2</v>
      </c>
      <c r="B3" t="s">
        <v>10</v>
      </c>
      <c r="C3" s="2" t="s">
        <v>16</v>
      </c>
      <c r="D3" t="s">
        <v>13</v>
      </c>
      <c r="E3" s="4">
        <v>23</v>
      </c>
      <c r="F3" s="4">
        <v>14</v>
      </c>
      <c r="G3" s="4">
        <v>7</v>
      </c>
      <c r="H3" s="4">
        <v>61</v>
      </c>
      <c r="I3" s="8">
        <f t="shared" si="1"/>
        <v>1.6428571428571428</v>
      </c>
      <c r="J3">
        <v>1</v>
      </c>
      <c r="K3">
        <f t="shared" si="2"/>
        <v>2</v>
      </c>
      <c r="L3" s="4">
        <v>1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L3" s="6" t="s">
        <v>41</v>
      </c>
      <c r="AM3" t="s">
        <v>43</v>
      </c>
    </row>
    <row r="4" spans="1:39" x14ac:dyDescent="0.25">
      <c r="A4">
        <f t="shared" si="0"/>
        <v>3</v>
      </c>
      <c r="B4" t="s">
        <v>9</v>
      </c>
      <c r="C4" s="2" t="s">
        <v>17</v>
      </c>
      <c r="D4" t="s">
        <v>12</v>
      </c>
      <c r="E4" s="4">
        <v>22</v>
      </c>
      <c r="F4" s="4">
        <v>21</v>
      </c>
      <c r="G4" s="4">
        <v>12</v>
      </c>
      <c r="H4" s="4">
        <v>63</v>
      </c>
      <c r="I4" s="8">
        <f t="shared" si="1"/>
        <v>1.0476190476190477</v>
      </c>
      <c r="J4">
        <v>1</v>
      </c>
      <c r="K4">
        <f t="shared" si="2"/>
        <v>2</v>
      </c>
      <c r="L4" s="4">
        <v>1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L4" s="5" t="s">
        <v>28</v>
      </c>
      <c r="AM4">
        <v>16</v>
      </c>
    </row>
    <row r="5" spans="1:39" x14ac:dyDescent="0.25">
      <c r="A5">
        <f t="shared" si="0"/>
        <v>4</v>
      </c>
      <c r="B5" t="s">
        <v>11</v>
      </c>
      <c r="C5" s="2" t="s">
        <v>18</v>
      </c>
      <c r="D5" t="s">
        <v>13</v>
      </c>
      <c r="E5" s="4">
        <v>20</v>
      </c>
      <c r="F5" s="4">
        <v>8</v>
      </c>
      <c r="G5" s="4">
        <v>4</v>
      </c>
      <c r="H5" s="4">
        <v>48</v>
      </c>
      <c r="I5" s="8">
        <f t="shared" si="1"/>
        <v>2.5</v>
      </c>
      <c r="J5">
        <v>2</v>
      </c>
      <c r="K5">
        <f t="shared" si="2"/>
        <v>1</v>
      </c>
      <c r="L5" s="4">
        <v>0</v>
      </c>
      <c r="M5" s="4">
        <v>0</v>
      </c>
      <c r="N5" s="4">
        <v>0</v>
      </c>
      <c r="O5" s="4">
        <v>0</v>
      </c>
      <c r="P5" s="4">
        <v>1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L5" s="7" t="s">
        <v>12</v>
      </c>
      <c r="AM5">
        <v>6</v>
      </c>
    </row>
    <row r="6" spans="1:39" x14ac:dyDescent="0.25">
      <c r="A6">
        <f t="shared" si="0"/>
        <v>5</v>
      </c>
      <c r="B6" t="s">
        <v>10</v>
      </c>
      <c r="C6" s="2" t="s">
        <v>19</v>
      </c>
      <c r="D6" t="s">
        <v>13</v>
      </c>
      <c r="E6" s="4">
        <v>27</v>
      </c>
      <c r="F6" s="4">
        <v>18</v>
      </c>
      <c r="G6" s="4">
        <v>5</v>
      </c>
      <c r="H6" s="4">
        <v>62</v>
      </c>
      <c r="I6" s="8">
        <f t="shared" si="1"/>
        <v>1.5</v>
      </c>
      <c r="J6">
        <v>1</v>
      </c>
      <c r="K6">
        <f t="shared" si="2"/>
        <v>1</v>
      </c>
      <c r="L6" s="4">
        <v>0</v>
      </c>
      <c r="M6" s="4">
        <v>0</v>
      </c>
      <c r="N6" s="4">
        <v>0</v>
      </c>
      <c r="O6" s="4">
        <v>0</v>
      </c>
      <c r="P6" s="4">
        <v>1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L6" s="7" t="s">
        <v>13</v>
      </c>
      <c r="AM6">
        <v>10</v>
      </c>
    </row>
    <row r="7" spans="1:39" x14ac:dyDescent="0.25">
      <c r="A7">
        <f t="shared" si="0"/>
        <v>6</v>
      </c>
      <c r="B7" t="s">
        <v>14</v>
      </c>
      <c r="C7" s="3" t="s">
        <v>20</v>
      </c>
      <c r="D7" t="s">
        <v>13</v>
      </c>
      <c r="E7" s="4">
        <v>10</v>
      </c>
      <c r="F7" s="4">
        <v>14</v>
      </c>
      <c r="G7" s="4">
        <v>8</v>
      </c>
      <c r="H7" s="4">
        <v>35</v>
      </c>
      <c r="I7" s="8">
        <f t="shared" si="1"/>
        <v>0.7142857142857143</v>
      </c>
      <c r="J7">
        <v>4</v>
      </c>
      <c r="K7">
        <f t="shared" si="2"/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L7" s="5" t="s">
        <v>11</v>
      </c>
      <c r="AM7">
        <v>18</v>
      </c>
    </row>
    <row r="8" spans="1:39" x14ac:dyDescent="0.25">
      <c r="A8">
        <f t="shared" ref="A8:A15" si="3">ROW()-1</f>
        <v>7</v>
      </c>
      <c r="B8" t="s">
        <v>9</v>
      </c>
      <c r="C8" t="s">
        <v>21</v>
      </c>
      <c r="D8" t="s">
        <v>13</v>
      </c>
      <c r="E8" s="4">
        <v>11</v>
      </c>
      <c r="F8" s="4">
        <v>9</v>
      </c>
      <c r="G8" s="4">
        <v>4</v>
      </c>
      <c r="H8" s="4">
        <v>29</v>
      </c>
      <c r="I8" s="8">
        <f t="shared" si="1"/>
        <v>1.2222222222222223</v>
      </c>
      <c r="J8">
        <v>5</v>
      </c>
      <c r="K8">
        <f t="shared" si="2"/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L8" s="7" t="s">
        <v>12</v>
      </c>
      <c r="AM8">
        <v>7</v>
      </c>
    </row>
    <row r="9" spans="1:39" x14ac:dyDescent="0.25">
      <c r="A9">
        <f t="shared" si="3"/>
        <v>8</v>
      </c>
      <c r="B9" t="s">
        <v>14</v>
      </c>
      <c r="C9" t="s">
        <v>44</v>
      </c>
      <c r="D9" t="s">
        <v>13</v>
      </c>
      <c r="E9" s="4">
        <v>11</v>
      </c>
      <c r="F9" s="4">
        <v>4</v>
      </c>
      <c r="G9" s="4">
        <v>1</v>
      </c>
      <c r="H9" s="4">
        <v>32</v>
      </c>
      <c r="I9" s="8">
        <f t="shared" si="1"/>
        <v>2.75</v>
      </c>
      <c r="J9">
        <v>3</v>
      </c>
      <c r="K9">
        <f t="shared" si="2"/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L9" s="7" t="s">
        <v>13</v>
      </c>
      <c r="AM9">
        <v>11</v>
      </c>
    </row>
    <row r="10" spans="1:39" x14ac:dyDescent="0.25">
      <c r="A10">
        <f t="shared" si="3"/>
        <v>9</v>
      </c>
      <c r="B10" t="s">
        <v>14</v>
      </c>
      <c r="C10" t="s">
        <v>20</v>
      </c>
      <c r="D10" t="s">
        <v>13</v>
      </c>
      <c r="E10" s="4">
        <v>10</v>
      </c>
      <c r="F10" s="4">
        <v>17</v>
      </c>
      <c r="G10" s="4">
        <v>12</v>
      </c>
      <c r="H10" s="4">
        <v>32</v>
      </c>
      <c r="I10" s="8">
        <f t="shared" si="1"/>
        <v>0.58823529411764708</v>
      </c>
      <c r="J10">
        <v>5</v>
      </c>
      <c r="K10">
        <f t="shared" si="2"/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L10" s="5" t="s">
        <v>9</v>
      </c>
      <c r="AM10">
        <v>43</v>
      </c>
    </row>
    <row r="11" spans="1:39" x14ac:dyDescent="0.25">
      <c r="A11">
        <f t="shared" si="3"/>
        <v>10</v>
      </c>
      <c r="B11" t="s">
        <v>14</v>
      </c>
      <c r="C11" t="s">
        <v>19</v>
      </c>
      <c r="D11" t="s">
        <v>13</v>
      </c>
      <c r="E11" s="4">
        <v>14</v>
      </c>
      <c r="F11" s="4">
        <v>15</v>
      </c>
      <c r="G11" s="4">
        <v>8</v>
      </c>
      <c r="H11" s="4">
        <v>43</v>
      </c>
      <c r="I11" s="8">
        <f t="shared" si="1"/>
        <v>0.93333333333333335</v>
      </c>
      <c r="J11">
        <v>3</v>
      </c>
      <c r="K11">
        <f t="shared" si="2"/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L11" s="7" t="s">
        <v>12</v>
      </c>
      <c r="AM11">
        <v>27</v>
      </c>
    </row>
    <row r="12" spans="1:39" x14ac:dyDescent="0.25">
      <c r="A12">
        <f t="shared" si="3"/>
        <v>11</v>
      </c>
      <c r="B12" t="s">
        <v>10</v>
      </c>
      <c r="C12" t="s">
        <v>23</v>
      </c>
      <c r="D12" t="s">
        <v>12</v>
      </c>
      <c r="E12" s="4">
        <v>12</v>
      </c>
      <c r="F12" s="4">
        <v>18</v>
      </c>
      <c r="G12" s="4">
        <v>4</v>
      </c>
      <c r="H12" s="4">
        <v>28</v>
      </c>
      <c r="I12" s="8">
        <f t="shared" si="1"/>
        <v>0.66666666666666663</v>
      </c>
      <c r="J12">
        <v>3</v>
      </c>
      <c r="K12">
        <f t="shared" si="2"/>
        <v>1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L12" s="7" t="s">
        <v>13</v>
      </c>
      <c r="AM12">
        <v>16</v>
      </c>
    </row>
    <row r="13" spans="1:39" x14ac:dyDescent="0.25">
      <c r="A13">
        <f t="shared" si="3"/>
        <v>12</v>
      </c>
      <c r="B13" t="s">
        <v>14</v>
      </c>
      <c r="C13" t="s">
        <v>24</v>
      </c>
      <c r="D13" t="s">
        <v>12</v>
      </c>
      <c r="E13" s="4">
        <v>2</v>
      </c>
      <c r="F13" s="4">
        <v>5</v>
      </c>
      <c r="G13" s="4">
        <v>2</v>
      </c>
      <c r="H13" s="4">
        <v>6</v>
      </c>
      <c r="I13" s="8">
        <f t="shared" si="1"/>
        <v>0.4</v>
      </c>
      <c r="J13">
        <v>3</v>
      </c>
      <c r="K13">
        <f t="shared" si="2"/>
        <v>3</v>
      </c>
      <c r="L13" s="4">
        <v>1</v>
      </c>
      <c r="M13" s="4">
        <v>1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t="s">
        <v>25</v>
      </c>
      <c r="AL13" s="5" t="s">
        <v>14</v>
      </c>
      <c r="AM13">
        <v>72</v>
      </c>
    </row>
    <row r="14" spans="1:39" x14ac:dyDescent="0.25">
      <c r="A14">
        <f t="shared" si="3"/>
        <v>13</v>
      </c>
      <c r="B14" t="s">
        <v>14</v>
      </c>
      <c r="C14" t="s">
        <v>16</v>
      </c>
      <c r="D14" t="s">
        <v>13</v>
      </c>
      <c r="E14" s="4">
        <v>30</v>
      </c>
      <c r="F14" s="4">
        <v>16</v>
      </c>
      <c r="G14" s="4">
        <v>5</v>
      </c>
      <c r="H14" s="4">
        <v>67</v>
      </c>
      <c r="I14" s="8">
        <f t="shared" si="1"/>
        <v>1.875</v>
      </c>
      <c r="J14">
        <v>1</v>
      </c>
      <c r="K14">
        <f t="shared" si="2"/>
        <v>4</v>
      </c>
      <c r="L14" s="4">
        <v>1</v>
      </c>
      <c r="M14" s="4">
        <v>1</v>
      </c>
      <c r="N14" s="4">
        <v>1</v>
      </c>
      <c r="O14" s="4">
        <v>0</v>
      </c>
      <c r="P14" s="4">
        <v>0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L14" s="7" t="s">
        <v>12</v>
      </c>
      <c r="AM14">
        <v>31</v>
      </c>
    </row>
    <row r="15" spans="1:39" x14ac:dyDescent="0.25">
      <c r="A15">
        <f t="shared" si="3"/>
        <v>14</v>
      </c>
      <c r="B15" t="s">
        <v>9</v>
      </c>
      <c r="C15" t="s">
        <v>34</v>
      </c>
      <c r="D15" t="s">
        <v>12</v>
      </c>
      <c r="E15" s="4">
        <v>30</v>
      </c>
      <c r="F15" s="4">
        <v>25</v>
      </c>
      <c r="G15" s="4">
        <v>12</v>
      </c>
      <c r="H15" s="4">
        <v>76</v>
      </c>
      <c r="I15" s="8">
        <f t="shared" si="1"/>
        <v>1.2</v>
      </c>
      <c r="J15">
        <v>1</v>
      </c>
      <c r="K15">
        <f t="shared" si="2"/>
        <v>4</v>
      </c>
      <c r="L15" s="4">
        <v>1</v>
      </c>
      <c r="M15" s="4">
        <v>1</v>
      </c>
      <c r="N15" s="4">
        <v>1</v>
      </c>
      <c r="O15" s="4">
        <v>0</v>
      </c>
      <c r="P15" s="4">
        <v>0</v>
      </c>
      <c r="Q15" s="4">
        <v>0</v>
      </c>
      <c r="R15" s="4">
        <v>1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t="s">
        <v>26</v>
      </c>
      <c r="AL15" s="7" t="s">
        <v>5</v>
      </c>
      <c r="AM15">
        <v>3</v>
      </c>
    </row>
    <row r="16" spans="1:39" x14ac:dyDescent="0.25">
      <c r="A16">
        <f t="shared" ref="A16:A24" si="4">ROW()-1</f>
        <v>15</v>
      </c>
      <c r="B16" t="s">
        <v>10</v>
      </c>
      <c r="C16" t="s">
        <v>27</v>
      </c>
      <c r="D16" t="s">
        <v>12</v>
      </c>
      <c r="E16" s="4">
        <v>11</v>
      </c>
      <c r="F16" s="4">
        <v>17</v>
      </c>
      <c r="G16" s="4">
        <v>7</v>
      </c>
      <c r="H16" s="4">
        <v>31</v>
      </c>
      <c r="I16" s="8">
        <f t="shared" si="1"/>
        <v>0.6470588235294118</v>
      </c>
      <c r="J16">
        <v>4</v>
      </c>
      <c r="K16">
        <f t="shared" si="2"/>
        <v>1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I16" s="11"/>
      <c r="AL16" s="7" t="s">
        <v>13</v>
      </c>
      <c r="AM16">
        <v>38</v>
      </c>
    </row>
    <row r="17" spans="1:39" x14ac:dyDescent="0.25">
      <c r="A17">
        <f t="shared" si="4"/>
        <v>16</v>
      </c>
      <c r="B17" t="s">
        <v>28</v>
      </c>
      <c r="C17" t="s">
        <v>17</v>
      </c>
      <c r="D17" t="s">
        <v>12</v>
      </c>
      <c r="E17" s="4">
        <v>19</v>
      </c>
      <c r="F17" s="4">
        <v>18</v>
      </c>
      <c r="G17" s="4">
        <v>4</v>
      </c>
      <c r="H17" s="4">
        <v>49</v>
      </c>
      <c r="I17" s="8">
        <f t="shared" si="1"/>
        <v>1.0555555555555556</v>
      </c>
      <c r="J17">
        <v>3</v>
      </c>
      <c r="K17">
        <f t="shared" si="2"/>
        <v>2</v>
      </c>
      <c r="L17" s="4">
        <v>1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I17" t="s">
        <v>62</v>
      </c>
      <c r="AL17" s="5" t="s">
        <v>10</v>
      </c>
      <c r="AM17">
        <v>31</v>
      </c>
    </row>
    <row r="18" spans="1:39" x14ac:dyDescent="0.25">
      <c r="A18">
        <f t="shared" si="4"/>
        <v>17</v>
      </c>
      <c r="B18" t="s">
        <v>14</v>
      </c>
      <c r="C18" t="s">
        <v>29</v>
      </c>
      <c r="D18" t="s">
        <v>5</v>
      </c>
      <c r="E18" s="4">
        <v>25</v>
      </c>
      <c r="F18" s="4">
        <v>22</v>
      </c>
      <c r="G18" s="4">
        <v>7</v>
      </c>
      <c r="H18" s="4">
        <v>66</v>
      </c>
      <c r="I18" s="8">
        <f t="shared" si="1"/>
        <v>1.1363636363636365</v>
      </c>
      <c r="J18">
        <v>2</v>
      </c>
      <c r="K18">
        <f t="shared" si="2"/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t="s">
        <v>26</v>
      </c>
      <c r="AL18" s="7" t="s">
        <v>12</v>
      </c>
      <c r="AM18">
        <v>12</v>
      </c>
    </row>
    <row r="19" spans="1:39" x14ac:dyDescent="0.25">
      <c r="A19">
        <f t="shared" si="4"/>
        <v>18</v>
      </c>
      <c r="B19" t="s">
        <v>9</v>
      </c>
      <c r="C19" t="s">
        <v>20</v>
      </c>
      <c r="D19" t="s">
        <v>13</v>
      </c>
      <c r="E19" s="4">
        <v>26</v>
      </c>
      <c r="F19" s="4">
        <v>13</v>
      </c>
      <c r="G19" s="4">
        <v>4</v>
      </c>
      <c r="H19" s="4">
        <v>63</v>
      </c>
      <c r="I19" s="8">
        <f t="shared" si="1"/>
        <v>2</v>
      </c>
      <c r="J19">
        <v>1</v>
      </c>
      <c r="K19">
        <f t="shared" si="2"/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L19" s="7" t="s">
        <v>5</v>
      </c>
      <c r="AM19">
        <v>1</v>
      </c>
    </row>
    <row r="20" spans="1:39" x14ac:dyDescent="0.25">
      <c r="A20">
        <f t="shared" si="4"/>
        <v>19</v>
      </c>
      <c r="B20" t="s">
        <v>10</v>
      </c>
      <c r="C20" t="s">
        <v>30</v>
      </c>
      <c r="D20" t="s">
        <v>13</v>
      </c>
      <c r="E20" s="4">
        <v>19</v>
      </c>
      <c r="F20" s="4">
        <v>12</v>
      </c>
      <c r="G20" s="4">
        <v>3</v>
      </c>
      <c r="H20" s="4">
        <v>47</v>
      </c>
      <c r="I20" s="8">
        <f t="shared" si="1"/>
        <v>1.5833333333333333</v>
      </c>
      <c r="J20">
        <v>2</v>
      </c>
      <c r="K20">
        <f t="shared" si="2"/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L20" s="7" t="s">
        <v>13</v>
      </c>
      <c r="AM20">
        <v>18</v>
      </c>
    </row>
    <row r="21" spans="1:39" x14ac:dyDescent="0.25">
      <c r="A21">
        <f t="shared" si="4"/>
        <v>20</v>
      </c>
      <c r="B21" t="s">
        <v>9</v>
      </c>
      <c r="C21" t="s">
        <v>31</v>
      </c>
      <c r="D21" t="s">
        <v>13</v>
      </c>
      <c r="E21" s="4">
        <v>19</v>
      </c>
      <c r="F21" s="4">
        <v>9</v>
      </c>
      <c r="G21" s="4">
        <v>4</v>
      </c>
      <c r="H21" s="4">
        <v>55</v>
      </c>
      <c r="I21" s="8">
        <f t="shared" si="1"/>
        <v>2.1111111111111112</v>
      </c>
      <c r="J21">
        <v>2</v>
      </c>
      <c r="K21">
        <f t="shared" si="2"/>
        <v>4</v>
      </c>
      <c r="L21" s="4">
        <v>1</v>
      </c>
      <c r="M21" s="4">
        <v>1</v>
      </c>
      <c r="N21" s="4">
        <v>1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L21" s="5" t="s">
        <v>32</v>
      </c>
      <c r="AM21">
        <v>29</v>
      </c>
    </row>
    <row r="22" spans="1:39" x14ac:dyDescent="0.25">
      <c r="A22">
        <f t="shared" si="4"/>
        <v>21</v>
      </c>
      <c r="B22" t="s">
        <v>10</v>
      </c>
      <c r="C22" t="s">
        <v>20</v>
      </c>
      <c r="D22" t="s">
        <v>13</v>
      </c>
      <c r="E22" s="4">
        <v>18</v>
      </c>
      <c r="F22" s="4">
        <v>14</v>
      </c>
      <c r="G22" s="4">
        <v>3</v>
      </c>
      <c r="H22" s="4">
        <v>44</v>
      </c>
      <c r="I22" s="8">
        <f t="shared" si="1"/>
        <v>1.2857142857142858</v>
      </c>
      <c r="J22">
        <v>1</v>
      </c>
      <c r="K22">
        <f t="shared" si="2"/>
        <v>4</v>
      </c>
      <c r="L22" s="4">
        <v>1</v>
      </c>
      <c r="M22" s="4">
        <v>1</v>
      </c>
      <c r="N22" s="4">
        <v>1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L22" s="7" t="s">
        <v>12</v>
      </c>
      <c r="AM22">
        <v>11</v>
      </c>
    </row>
    <row r="23" spans="1:39" x14ac:dyDescent="0.25">
      <c r="A23">
        <f t="shared" si="4"/>
        <v>22</v>
      </c>
      <c r="B23" t="s">
        <v>14</v>
      </c>
      <c r="C23" t="s">
        <v>16</v>
      </c>
      <c r="D23" t="s">
        <v>13</v>
      </c>
      <c r="E23" s="4">
        <v>30</v>
      </c>
      <c r="F23" s="4">
        <v>14</v>
      </c>
      <c r="G23" s="4">
        <v>4</v>
      </c>
      <c r="H23" s="4">
        <v>68</v>
      </c>
      <c r="I23" s="8">
        <f t="shared" si="1"/>
        <v>2.1428571428571428</v>
      </c>
      <c r="J23">
        <v>1</v>
      </c>
      <c r="K23">
        <f t="shared" si="2"/>
        <v>4</v>
      </c>
      <c r="L23" s="4">
        <v>1</v>
      </c>
      <c r="M23" s="4">
        <v>1</v>
      </c>
      <c r="N23" s="4">
        <v>1</v>
      </c>
      <c r="O23" s="4">
        <v>0</v>
      </c>
      <c r="P23" s="4">
        <v>0</v>
      </c>
      <c r="Q23" s="4">
        <v>0</v>
      </c>
      <c r="R23" s="4">
        <v>1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L23" s="7" t="s">
        <v>5</v>
      </c>
      <c r="AM23">
        <v>4</v>
      </c>
    </row>
    <row r="24" spans="1:39" x14ac:dyDescent="0.25">
      <c r="A24">
        <f t="shared" si="4"/>
        <v>23</v>
      </c>
      <c r="B24" t="s">
        <v>9</v>
      </c>
      <c r="C24" t="s">
        <v>23</v>
      </c>
      <c r="D24" t="s">
        <v>12</v>
      </c>
      <c r="E24" s="4">
        <v>6</v>
      </c>
      <c r="F24" s="4">
        <v>16</v>
      </c>
      <c r="G24" s="4">
        <v>2</v>
      </c>
      <c r="H24" s="4">
        <v>14</v>
      </c>
      <c r="I24" s="8">
        <f t="shared" si="1"/>
        <v>0.375</v>
      </c>
      <c r="J24">
        <v>5</v>
      </c>
      <c r="K24">
        <f t="shared" si="2"/>
        <v>4</v>
      </c>
      <c r="L24" s="4">
        <v>1</v>
      </c>
      <c r="M24" s="4">
        <v>1</v>
      </c>
      <c r="N24" s="4">
        <v>1</v>
      </c>
      <c r="O24" s="4">
        <v>0</v>
      </c>
      <c r="P24" s="4">
        <v>0</v>
      </c>
      <c r="Q24" s="4">
        <v>0</v>
      </c>
      <c r="R24" s="4">
        <v>1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L24" s="7" t="s">
        <v>13</v>
      </c>
      <c r="AM24">
        <v>14</v>
      </c>
    </row>
    <row r="25" spans="1:39" x14ac:dyDescent="0.25">
      <c r="A25">
        <f t="shared" ref="A25:A31" si="5">ROW()-1</f>
        <v>24</v>
      </c>
      <c r="B25" t="s">
        <v>9</v>
      </c>
      <c r="C25" t="s">
        <v>16</v>
      </c>
      <c r="D25" t="s">
        <v>13</v>
      </c>
      <c r="E25" s="4">
        <v>23</v>
      </c>
      <c r="F25" s="4">
        <v>16</v>
      </c>
      <c r="G25" s="4">
        <v>1</v>
      </c>
      <c r="H25" s="4">
        <v>53</v>
      </c>
      <c r="I25" s="8">
        <f t="shared" si="1"/>
        <v>1.4375</v>
      </c>
      <c r="J25">
        <v>1</v>
      </c>
      <c r="K25">
        <f t="shared" si="2"/>
        <v>1</v>
      </c>
      <c r="L25" s="4">
        <v>0</v>
      </c>
      <c r="M25" s="4">
        <v>0</v>
      </c>
      <c r="N25" s="4">
        <v>1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L25" s="5" t="s">
        <v>95</v>
      </c>
    </row>
    <row r="26" spans="1:39" x14ac:dyDescent="0.25">
      <c r="A26">
        <f t="shared" si="5"/>
        <v>25</v>
      </c>
      <c r="B26" t="s">
        <v>14</v>
      </c>
      <c r="C26" t="s">
        <v>17</v>
      </c>
      <c r="D26" t="s">
        <v>12</v>
      </c>
      <c r="E26" s="4">
        <v>14</v>
      </c>
      <c r="F26" s="4">
        <v>17</v>
      </c>
      <c r="G26" s="4">
        <v>8</v>
      </c>
      <c r="H26" s="4">
        <v>42</v>
      </c>
      <c r="I26" s="8">
        <f t="shared" si="1"/>
        <v>0.82352941176470584</v>
      </c>
      <c r="J26">
        <v>4</v>
      </c>
      <c r="K26">
        <f t="shared" si="2"/>
        <v>3</v>
      </c>
      <c r="L26" s="4">
        <v>1</v>
      </c>
      <c r="M26" s="4">
        <v>0</v>
      </c>
      <c r="N26" s="4">
        <v>1</v>
      </c>
      <c r="O26" s="4">
        <v>0</v>
      </c>
      <c r="P26" s="4">
        <v>0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L26" s="7" t="s">
        <v>95</v>
      </c>
    </row>
    <row r="27" spans="1:39" x14ac:dyDescent="0.25">
      <c r="A27">
        <f t="shared" si="5"/>
        <v>26</v>
      </c>
      <c r="B27" t="s">
        <v>32</v>
      </c>
      <c r="C27" t="s">
        <v>15</v>
      </c>
      <c r="D27" t="s">
        <v>12</v>
      </c>
      <c r="E27" s="4">
        <v>22</v>
      </c>
      <c r="F27" s="4">
        <v>21</v>
      </c>
      <c r="G27" s="4">
        <v>3</v>
      </c>
      <c r="H27" s="4">
        <v>61</v>
      </c>
      <c r="I27" s="8">
        <f t="shared" si="1"/>
        <v>1.0476190476190477</v>
      </c>
      <c r="J27">
        <v>1</v>
      </c>
      <c r="K27">
        <f t="shared" si="2"/>
        <v>4</v>
      </c>
      <c r="L27" s="4">
        <v>1</v>
      </c>
      <c r="M27" s="4">
        <v>0</v>
      </c>
      <c r="N27" s="4">
        <v>1</v>
      </c>
      <c r="O27" s="4">
        <v>0</v>
      </c>
      <c r="P27" s="4">
        <v>1</v>
      </c>
      <c r="Q27" s="4">
        <v>1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t="s">
        <v>26</v>
      </c>
      <c r="AL27" s="5" t="s">
        <v>48</v>
      </c>
      <c r="AM27">
        <v>13</v>
      </c>
    </row>
    <row r="28" spans="1:39" x14ac:dyDescent="0.25">
      <c r="A28">
        <f t="shared" si="5"/>
        <v>27</v>
      </c>
      <c r="B28" t="s">
        <v>9</v>
      </c>
      <c r="C28" t="s">
        <v>33</v>
      </c>
      <c r="D28" t="s">
        <v>12</v>
      </c>
      <c r="E28" s="4">
        <v>14</v>
      </c>
      <c r="F28" s="4">
        <v>18</v>
      </c>
      <c r="G28" s="4">
        <v>6</v>
      </c>
      <c r="H28" s="4">
        <v>38</v>
      </c>
      <c r="I28" s="8">
        <f t="shared" si="1"/>
        <v>0.77777777777777779</v>
      </c>
      <c r="J28">
        <v>4</v>
      </c>
      <c r="K28">
        <f t="shared" si="2"/>
        <v>3</v>
      </c>
      <c r="L28" s="4">
        <v>1</v>
      </c>
      <c r="M28" s="4">
        <v>1</v>
      </c>
      <c r="N28" s="4">
        <v>1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L28" s="7" t="s">
        <v>12</v>
      </c>
      <c r="AM28">
        <v>8</v>
      </c>
    </row>
    <row r="29" spans="1:39" x14ac:dyDescent="0.25">
      <c r="A29">
        <f t="shared" si="5"/>
        <v>28</v>
      </c>
      <c r="B29" t="s">
        <v>14</v>
      </c>
      <c r="C29" t="s">
        <v>20</v>
      </c>
      <c r="D29" t="s">
        <v>13</v>
      </c>
      <c r="E29" s="4">
        <v>13</v>
      </c>
      <c r="F29" s="4">
        <v>17</v>
      </c>
      <c r="G29" s="4">
        <v>11</v>
      </c>
      <c r="H29" s="4">
        <v>43</v>
      </c>
      <c r="I29" s="8">
        <f t="shared" si="1"/>
        <v>0.76470588235294112</v>
      </c>
      <c r="J29">
        <v>4</v>
      </c>
      <c r="K29">
        <f t="shared" si="2"/>
        <v>3</v>
      </c>
      <c r="L29" s="4">
        <v>1</v>
      </c>
      <c r="M29" s="4">
        <v>1</v>
      </c>
      <c r="N29" s="4">
        <v>1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L29" s="7" t="s">
        <v>13</v>
      </c>
      <c r="AM29">
        <v>5</v>
      </c>
    </row>
    <row r="30" spans="1:39" x14ac:dyDescent="0.25">
      <c r="A30">
        <f t="shared" si="5"/>
        <v>29</v>
      </c>
      <c r="B30" t="s">
        <v>14</v>
      </c>
      <c r="C30" t="s">
        <v>31</v>
      </c>
      <c r="D30" t="s">
        <v>13</v>
      </c>
      <c r="E30" s="4">
        <v>11</v>
      </c>
      <c r="F30" s="4">
        <v>12</v>
      </c>
      <c r="G30" s="4">
        <v>6</v>
      </c>
      <c r="H30" s="4">
        <v>34</v>
      </c>
      <c r="I30" s="8">
        <f t="shared" si="1"/>
        <v>0.91666666666666663</v>
      </c>
      <c r="J30">
        <v>3</v>
      </c>
      <c r="K30">
        <f t="shared" si="2"/>
        <v>3</v>
      </c>
      <c r="L30" s="4">
        <v>1</v>
      </c>
      <c r="M30" s="4">
        <v>1</v>
      </c>
      <c r="N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L30" s="5" t="s">
        <v>42</v>
      </c>
      <c r="AM30">
        <v>222</v>
      </c>
    </row>
    <row r="31" spans="1:39" x14ac:dyDescent="0.25">
      <c r="A31">
        <f t="shared" si="5"/>
        <v>30</v>
      </c>
      <c r="B31" t="s">
        <v>14</v>
      </c>
      <c r="C31" t="s">
        <v>31</v>
      </c>
      <c r="D31" t="s">
        <v>13</v>
      </c>
      <c r="E31" s="4">
        <v>20</v>
      </c>
      <c r="F31" s="4">
        <v>12</v>
      </c>
      <c r="G31" s="4">
        <v>2</v>
      </c>
      <c r="H31" s="4">
        <v>54</v>
      </c>
      <c r="I31" s="8">
        <f t="shared" si="1"/>
        <v>1.6666666666666667</v>
      </c>
      <c r="J31">
        <v>1</v>
      </c>
      <c r="K31">
        <f t="shared" si="2"/>
        <v>2</v>
      </c>
      <c r="L31" s="4">
        <v>0</v>
      </c>
      <c r="M31" s="4">
        <v>1</v>
      </c>
      <c r="N31" s="4">
        <v>1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</row>
    <row r="32" spans="1:39" x14ac:dyDescent="0.25">
      <c r="A32">
        <f t="shared" ref="A32:A37" si="6">ROW()-1</f>
        <v>31</v>
      </c>
      <c r="B32" t="s">
        <v>32</v>
      </c>
      <c r="C32" t="s">
        <v>27</v>
      </c>
      <c r="D32" t="s">
        <v>12</v>
      </c>
      <c r="E32" s="4">
        <v>24</v>
      </c>
      <c r="F32" s="4">
        <v>15</v>
      </c>
      <c r="G32" s="4">
        <v>5</v>
      </c>
      <c r="H32" s="4">
        <v>61</v>
      </c>
      <c r="I32" s="8">
        <f t="shared" si="1"/>
        <v>1.6</v>
      </c>
      <c r="J32">
        <v>1</v>
      </c>
      <c r="K32">
        <f t="shared" si="2"/>
        <v>2</v>
      </c>
      <c r="L32" s="4">
        <v>1</v>
      </c>
      <c r="M32" s="4">
        <v>1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</row>
    <row r="33" spans="1:38" x14ac:dyDescent="0.25">
      <c r="A33">
        <f t="shared" si="6"/>
        <v>32</v>
      </c>
      <c r="B33" t="s">
        <v>14</v>
      </c>
      <c r="C33" t="s">
        <v>19</v>
      </c>
      <c r="D33" t="s">
        <v>13</v>
      </c>
      <c r="E33" s="4">
        <v>23</v>
      </c>
      <c r="F33" s="4">
        <v>17</v>
      </c>
      <c r="G33" s="4">
        <v>3</v>
      </c>
      <c r="H33" s="4">
        <v>52</v>
      </c>
      <c r="I33" s="8">
        <f t="shared" si="1"/>
        <v>1.3529411764705883</v>
      </c>
      <c r="J33">
        <v>2</v>
      </c>
      <c r="K33">
        <f t="shared" si="2"/>
        <v>3</v>
      </c>
      <c r="L33" s="4">
        <v>1</v>
      </c>
      <c r="M33" s="4">
        <v>1</v>
      </c>
      <c r="N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</row>
    <row r="34" spans="1:38" x14ac:dyDescent="0.25">
      <c r="A34">
        <f t="shared" si="6"/>
        <v>33</v>
      </c>
      <c r="B34" t="s">
        <v>9</v>
      </c>
      <c r="C34" t="s">
        <v>27</v>
      </c>
      <c r="D34" t="s">
        <v>12</v>
      </c>
      <c r="E34" s="4">
        <v>15</v>
      </c>
      <c r="F34" s="4">
        <v>15</v>
      </c>
      <c r="G34" s="4">
        <v>6</v>
      </c>
      <c r="H34" s="4">
        <v>43</v>
      </c>
      <c r="I34" s="8">
        <f t="shared" si="1"/>
        <v>1</v>
      </c>
      <c r="J34">
        <v>2</v>
      </c>
      <c r="K34">
        <f t="shared" ref="K34:K65" si="7">SUM(L34:AE34)</f>
        <v>4</v>
      </c>
      <c r="L34" s="4">
        <v>1</v>
      </c>
      <c r="M34" s="4">
        <v>1</v>
      </c>
      <c r="N34" s="4">
        <v>1</v>
      </c>
      <c r="O34" s="4">
        <v>0</v>
      </c>
      <c r="P34" s="4">
        <v>0</v>
      </c>
      <c r="Q34" s="4">
        <v>0</v>
      </c>
      <c r="R34" s="4">
        <v>1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H34" t="s">
        <v>62</v>
      </c>
    </row>
    <row r="35" spans="1:38" x14ac:dyDescent="0.25">
      <c r="A35">
        <f t="shared" si="6"/>
        <v>34</v>
      </c>
      <c r="B35" t="s">
        <v>10</v>
      </c>
      <c r="C35" t="s">
        <v>27</v>
      </c>
      <c r="D35" t="s">
        <v>12</v>
      </c>
      <c r="E35" s="4">
        <v>19</v>
      </c>
      <c r="F35" s="4">
        <v>15</v>
      </c>
      <c r="G35" s="4">
        <v>1</v>
      </c>
      <c r="H35" s="4">
        <v>41</v>
      </c>
      <c r="I35" s="8">
        <f t="shared" si="1"/>
        <v>1.2666666666666666</v>
      </c>
      <c r="J35">
        <v>1</v>
      </c>
      <c r="K35">
        <f t="shared" si="7"/>
        <v>2</v>
      </c>
      <c r="L35" s="4">
        <v>0</v>
      </c>
      <c r="M35" s="4">
        <v>1</v>
      </c>
      <c r="N35" s="4">
        <v>1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</row>
    <row r="36" spans="1:38" x14ac:dyDescent="0.25">
      <c r="A36">
        <f t="shared" si="6"/>
        <v>35</v>
      </c>
      <c r="B36" t="s">
        <v>11</v>
      </c>
      <c r="C36" t="s">
        <v>33</v>
      </c>
      <c r="D36" t="s">
        <v>12</v>
      </c>
      <c r="E36" s="4">
        <v>11</v>
      </c>
      <c r="F36" s="4">
        <v>16</v>
      </c>
      <c r="G36" s="4">
        <v>5</v>
      </c>
      <c r="H36" s="4">
        <v>32</v>
      </c>
      <c r="I36" s="8">
        <f t="shared" si="1"/>
        <v>0.6875</v>
      </c>
      <c r="J36">
        <v>4</v>
      </c>
      <c r="K36">
        <f t="shared" si="7"/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</row>
    <row r="37" spans="1:38" x14ac:dyDescent="0.25">
      <c r="A37">
        <f t="shared" si="6"/>
        <v>36</v>
      </c>
      <c r="B37" t="s">
        <v>9</v>
      </c>
      <c r="C37" t="s">
        <v>46</v>
      </c>
      <c r="D37" t="s">
        <v>12</v>
      </c>
      <c r="E37" s="4">
        <v>18</v>
      </c>
      <c r="F37" s="4">
        <v>17</v>
      </c>
      <c r="G37" s="4">
        <v>3</v>
      </c>
      <c r="H37" s="4">
        <v>44</v>
      </c>
      <c r="I37" s="8">
        <f>E37/F37</f>
        <v>1.0588235294117647</v>
      </c>
      <c r="J37">
        <v>2</v>
      </c>
      <c r="K37">
        <f t="shared" si="7"/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L37" t="s">
        <v>71</v>
      </c>
    </row>
    <row r="38" spans="1:38" x14ac:dyDescent="0.25">
      <c r="A38">
        <f t="shared" ref="A38:A58" si="8">ROW()-1</f>
        <v>37</v>
      </c>
      <c r="B38" t="s">
        <v>14</v>
      </c>
      <c r="C38" t="s">
        <v>47</v>
      </c>
      <c r="D38" t="s">
        <v>12</v>
      </c>
      <c r="E38" s="4">
        <v>10</v>
      </c>
      <c r="F38" s="4">
        <v>13</v>
      </c>
      <c r="G38" s="4">
        <v>2</v>
      </c>
      <c r="H38" s="4">
        <v>22</v>
      </c>
      <c r="I38" s="8">
        <f>E38/F38</f>
        <v>0.76923076923076927</v>
      </c>
      <c r="J38">
        <v>1</v>
      </c>
      <c r="K38">
        <f t="shared" si="7"/>
        <v>1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</row>
    <row r="39" spans="1:38" x14ac:dyDescent="0.25">
      <c r="A39">
        <f t="shared" si="8"/>
        <v>38</v>
      </c>
      <c r="B39" t="s">
        <v>48</v>
      </c>
      <c r="C39" t="s">
        <v>16</v>
      </c>
      <c r="D39" t="s">
        <v>13</v>
      </c>
      <c r="E39" s="4">
        <v>22</v>
      </c>
      <c r="F39" s="4">
        <v>14</v>
      </c>
      <c r="G39" s="4">
        <v>4</v>
      </c>
      <c r="H39" s="4">
        <v>55</v>
      </c>
      <c r="I39" s="8">
        <f>E39/F39</f>
        <v>1.5714285714285714</v>
      </c>
      <c r="J39">
        <v>2</v>
      </c>
      <c r="K39">
        <f t="shared" si="7"/>
        <v>1</v>
      </c>
      <c r="L39" s="4">
        <v>1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</row>
    <row r="40" spans="1:38" x14ac:dyDescent="0.25">
      <c r="A40">
        <f t="shared" si="8"/>
        <v>39</v>
      </c>
      <c r="B40" t="s">
        <v>32</v>
      </c>
      <c r="C40" t="s">
        <v>49</v>
      </c>
      <c r="D40" t="s">
        <v>13</v>
      </c>
      <c r="E40" s="4">
        <v>19</v>
      </c>
      <c r="F40" s="4">
        <v>10</v>
      </c>
      <c r="G40" s="4">
        <v>3</v>
      </c>
      <c r="H40" s="4">
        <v>42</v>
      </c>
      <c r="I40" s="8">
        <f>E40/F40</f>
        <v>1.9</v>
      </c>
      <c r="J40">
        <v>2</v>
      </c>
      <c r="K40">
        <f t="shared" si="7"/>
        <v>2</v>
      </c>
      <c r="L40" s="4">
        <v>1</v>
      </c>
      <c r="M40" s="4">
        <v>0</v>
      </c>
      <c r="N40" s="4">
        <v>0</v>
      </c>
      <c r="O40" s="4">
        <v>0</v>
      </c>
      <c r="P40" s="4">
        <v>1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</row>
    <row r="41" spans="1:38" x14ac:dyDescent="0.25">
      <c r="A41">
        <f t="shared" si="8"/>
        <v>40</v>
      </c>
      <c r="B41" t="s">
        <v>32</v>
      </c>
      <c r="C41" t="s">
        <v>44</v>
      </c>
      <c r="D41" t="s">
        <v>13</v>
      </c>
      <c r="E41" s="4">
        <v>22</v>
      </c>
      <c r="F41" s="4">
        <v>5</v>
      </c>
      <c r="G41" s="4">
        <v>3</v>
      </c>
      <c r="H41" s="4">
        <v>46</v>
      </c>
      <c r="I41" s="8">
        <f>E41/F41</f>
        <v>4.4000000000000004</v>
      </c>
      <c r="J41">
        <v>1</v>
      </c>
      <c r="K41">
        <f t="shared" si="7"/>
        <v>1</v>
      </c>
      <c r="L41" s="4">
        <v>0</v>
      </c>
      <c r="M41" s="4">
        <v>0</v>
      </c>
      <c r="N41" s="4">
        <v>0</v>
      </c>
      <c r="O41" s="4">
        <v>0</v>
      </c>
      <c r="P41" s="4">
        <v>1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</row>
    <row r="42" spans="1:38" x14ac:dyDescent="0.25">
      <c r="A42">
        <f t="shared" si="8"/>
        <v>41</v>
      </c>
      <c r="B42" t="s">
        <v>9</v>
      </c>
      <c r="C42" t="s">
        <v>51</v>
      </c>
      <c r="D42" t="s">
        <v>12</v>
      </c>
      <c r="E42" s="4">
        <v>0</v>
      </c>
      <c r="F42" s="4">
        <v>0</v>
      </c>
      <c r="G42" s="4">
        <v>0</v>
      </c>
      <c r="H42" s="4">
        <v>0</v>
      </c>
      <c r="I42" s="8">
        <v>1</v>
      </c>
      <c r="J42">
        <v>3</v>
      </c>
      <c r="K42">
        <f t="shared" si="7"/>
        <v>1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t="s">
        <v>52</v>
      </c>
    </row>
    <row r="43" spans="1:38" x14ac:dyDescent="0.25">
      <c r="A43">
        <f t="shared" si="8"/>
        <v>42</v>
      </c>
      <c r="B43" t="s">
        <v>14</v>
      </c>
      <c r="C43" t="s">
        <v>44</v>
      </c>
      <c r="D43" t="s">
        <v>13</v>
      </c>
      <c r="E43" s="4">
        <v>18</v>
      </c>
      <c r="F43" s="4">
        <v>8</v>
      </c>
      <c r="G43" s="4">
        <v>5</v>
      </c>
      <c r="H43" s="4">
        <v>39</v>
      </c>
      <c r="I43" s="8">
        <f t="shared" ref="I43:I58" si="9">E43/F43</f>
        <v>2.25</v>
      </c>
      <c r="J43">
        <v>1</v>
      </c>
      <c r="K43">
        <f t="shared" si="7"/>
        <v>1</v>
      </c>
      <c r="L43" s="4">
        <v>0</v>
      </c>
      <c r="M43" s="4">
        <v>0</v>
      </c>
      <c r="N43" s="4">
        <v>0</v>
      </c>
      <c r="O43" s="4">
        <v>0</v>
      </c>
      <c r="P43" s="4">
        <v>1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</row>
    <row r="44" spans="1:38" x14ac:dyDescent="0.25">
      <c r="A44">
        <f t="shared" si="8"/>
        <v>43</v>
      </c>
      <c r="B44" t="s">
        <v>14</v>
      </c>
      <c r="C44" t="s">
        <v>54</v>
      </c>
      <c r="D44" t="s">
        <v>12</v>
      </c>
      <c r="E44" s="4">
        <v>10</v>
      </c>
      <c r="F44" s="4">
        <v>15</v>
      </c>
      <c r="G44" s="4">
        <v>4</v>
      </c>
      <c r="H44" s="4">
        <v>26</v>
      </c>
      <c r="I44" s="8">
        <f t="shared" si="9"/>
        <v>0.66666666666666663</v>
      </c>
      <c r="J44">
        <v>2</v>
      </c>
      <c r="K44">
        <f t="shared" si="7"/>
        <v>2</v>
      </c>
      <c r="L44" s="4">
        <v>0</v>
      </c>
      <c r="M44" s="4">
        <v>0</v>
      </c>
      <c r="N44" s="4">
        <v>0</v>
      </c>
      <c r="O44" s="4">
        <v>0</v>
      </c>
      <c r="P44" s="4">
        <v>1</v>
      </c>
      <c r="Q44" s="4">
        <v>0</v>
      </c>
      <c r="R44" s="4">
        <v>0</v>
      </c>
      <c r="S44" s="4">
        <v>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</row>
    <row r="45" spans="1:38" x14ac:dyDescent="0.25">
      <c r="A45">
        <f t="shared" si="8"/>
        <v>44</v>
      </c>
      <c r="B45" t="s">
        <v>10</v>
      </c>
      <c r="C45" t="s">
        <v>17</v>
      </c>
      <c r="D45" t="s">
        <v>12</v>
      </c>
      <c r="E45" s="4">
        <v>23</v>
      </c>
      <c r="F45" s="4">
        <v>16</v>
      </c>
      <c r="G45" s="4">
        <v>4</v>
      </c>
      <c r="H45" s="4">
        <v>55</v>
      </c>
      <c r="I45" s="8">
        <f t="shared" si="9"/>
        <v>1.4375</v>
      </c>
      <c r="J45">
        <v>2</v>
      </c>
      <c r="K45">
        <f t="shared" si="7"/>
        <v>2</v>
      </c>
      <c r="L45" s="4">
        <v>0</v>
      </c>
      <c r="M45" s="4">
        <v>0</v>
      </c>
      <c r="N45" s="4">
        <v>0</v>
      </c>
      <c r="O45" s="4">
        <v>0</v>
      </c>
      <c r="P45" s="4">
        <v>1</v>
      </c>
      <c r="Q45" s="4">
        <v>0</v>
      </c>
      <c r="R45" s="4">
        <v>0</v>
      </c>
      <c r="S45" s="4">
        <v>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</row>
    <row r="46" spans="1:38" x14ac:dyDescent="0.25">
      <c r="A46">
        <f t="shared" si="8"/>
        <v>45</v>
      </c>
      <c r="B46" t="s">
        <v>28</v>
      </c>
      <c r="C46" t="s">
        <v>19</v>
      </c>
      <c r="D46" t="s">
        <v>13</v>
      </c>
      <c r="E46" s="4">
        <v>23</v>
      </c>
      <c r="F46" s="4">
        <v>17</v>
      </c>
      <c r="G46" s="4">
        <v>2</v>
      </c>
      <c r="H46" s="4">
        <v>52</v>
      </c>
      <c r="I46" s="8">
        <f t="shared" si="9"/>
        <v>1.3529411764705883</v>
      </c>
      <c r="J46">
        <v>2</v>
      </c>
      <c r="K46">
        <f t="shared" si="7"/>
        <v>3</v>
      </c>
      <c r="L46" s="4">
        <v>0</v>
      </c>
      <c r="M46" s="4">
        <v>0</v>
      </c>
      <c r="N46" s="4">
        <v>0</v>
      </c>
      <c r="O46" s="4">
        <v>0</v>
      </c>
      <c r="P46" s="4">
        <v>1</v>
      </c>
      <c r="Q46" s="4">
        <v>0</v>
      </c>
      <c r="R46" s="4">
        <v>0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1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</row>
    <row r="47" spans="1:38" x14ac:dyDescent="0.25">
      <c r="A47">
        <f t="shared" si="8"/>
        <v>46</v>
      </c>
      <c r="B47" t="s">
        <v>9</v>
      </c>
      <c r="C47" t="s">
        <v>27</v>
      </c>
      <c r="D47" t="s">
        <v>12</v>
      </c>
      <c r="E47" s="4">
        <v>16</v>
      </c>
      <c r="F47" s="4">
        <v>17</v>
      </c>
      <c r="G47" s="4">
        <v>2</v>
      </c>
      <c r="H47" s="4">
        <v>44</v>
      </c>
      <c r="I47" s="8">
        <f t="shared" si="9"/>
        <v>0.94117647058823528</v>
      </c>
      <c r="J47">
        <v>2</v>
      </c>
      <c r="K47">
        <f t="shared" si="7"/>
        <v>4</v>
      </c>
      <c r="L47" s="4">
        <v>0</v>
      </c>
      <c r="M47" s="4">
        <v>0</v>
      </c>
      <c r="N47" s="4">
        <v>0</v>
      </c>
      <c r="O47" s="4">
        <v>0</v>
      </c>
      <c r="P47" s="4">
        <v>1</v>
      </c>
      <c r="Q47" s="4">
        <v>0</v>
      </c>
      <c r="R47" s="4">
        <v>0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1</v>
      </c>
    </row>
    <row r="48" spans="1:38" x14ac:dyDescent="0.25">
      <c r="A48">
        <f t="shared" si="8"/>
        <v>47</v>
      </c>
      <c r="B48" t="s">
        <v>14</v>
      </c>
      <c r="C48" t="s">
        <v>57</v>
      </c>
      <c r="D48" t="s">
        <v>13</v>
      </c>
      <c r="E48" s="4">
        <v>15</v>
      </c>
      <c r="F48" s="4">
        <v>15</v>
      </c>
      <c r="G48" s="4">
        <v>7</v>
      </c>
      <c r="H48" s="4">
        <v>38</v>
      </c>
      <c r="I48" s="8">
        <f t="shared" si="9"/>
        <v>1</v>
      </c>
      <c r="J48">
        <v>4</v>
      </c>
      <c r="K48">
        <f t="shared" si="7"/>
        <v>2</v>
      </c>
      <c r="L48" s="4">
        <v>1</v>
      </c>
      <c r="M48" s="4">
        <v>0</v>
      </c>
      <c r="N48" s="4">
        <v>1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</row>
    <row r="49" spans="1:32" x14ac:dyDescent="0.25">
      <c r="A49">
        <f t="shared" si="8"/>
        <v>48</v>
      </c>
      <c r="B49" t="s">
        <v>14</v>
      </c>
      <c r="C49" t="s">
        <v>15</v>
      </c>
      <c r="D49" t="s">
        <v>12</v>
      </c>
      <c r="E49" s="4">
        <v>17</v>
      </c>
      <c r="F49" s="4">
        <v>22</v>
      </c>
      <c r="G49" s="4">
        <v>2</v>
      </c>
      <c r="H49" s="4">
        <v>37</v>
      </c>
      <c r="I49" s="8">
        <f t="shared" si="9"/>
        <v>0.77272727272727271</v>
      </c>
      <c r="J49">
        <v>3</v>
      </c>
      <c r="K49">
        <f t="shared" si="7"/>
        <v>4</v>
      </c>
      <c r="L49" s="4">
        <v>1</v>
      </c>
      <c r="M49" s="4">
        <v>0</v>
      </c>
      <c r="N49" s="4">
        <v>1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1</v>
      </c>
      <c r="U49" s="4">
        <v>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t="s">
        <v>58</v>
      </c>
    </row>
    <row r="50" spans="1:32" x14ac:dyDescent="0.25">
      <c r="A50">
        <f t="shared" si="8"/>
        <v>49</v>
      </c>
      <c r="B50" t="s">
        <v>9</v>
      </c>
      <c r="C50" t="s">
        <v>44</v>
      </c>
      <c r="D50" t="s">
        <v>13</v>
      </c>
      <c r="E50" s="4">
        <v>22</v>
      </c>
      <c r="F50" s="4">
        <v>2</v>
      </c>
      <c r="G50" s="4">
        <v>7</v>
      </c>
      <c r="H50" s="4">
        <v>58</v>
      </c>
      <c r="I50" s="10">
        <f t="shared" si="9"/>
        <v>11</v>
      </c>
      <c r="J50">
        <v>1</v>
      </c>
      <c r="K50">
        <f t="shared" si="7"/>
        <v>2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</row>
    <row r="51" spans="1:32" x14ac:dyDescent="0.25">
      <c r="A51">
        <f t="shared" si="8"/>
        <v>50</v>
      </c>
      <c r="B51" t="s">
        <v>14</v>
      </c>
      <c r="C51" t="s">
        <v>61</v>
      </c>
      <c r="D51" t="s">
        <v>12</v>
      </c>
      <c r="E51" s="4">
        <v>10</v>
      </c>
      <c r="F51" s="4">
        <v>14</v>
      </c>
      <c r="G51" s="4">
        <v>6</v>
      </c>
      <c r="H51" s="4">
        <v>30</v>
      </c>
      <c r="I51" s="8">
        <f t="shared" si="9"/>
        <v>0.7142857142857143</v>
      </c>
      <c r="J51">
        <v>2</v>
      </c>
      <c r="K51">
        <f t="shared" si="7"/>
        <v>4</v>
      </c>
      <c r="L51" s="4">
        <v>1</v>
      </c>
      <c r="M51" s="4">
        <v>0</v>
      </c>
      <c r="N51" s="4">
        <v>1</v>
      </c>
      <c r="O51" s="4">
        <v>0</v>
      </c>
      <c r="P51" s="4">
        <v>0</v>
      </c>
      <c r="Q51" s="4">
        <v>0</v>
      </c>
      <c r="R51" s="4">
        <v>0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</row>
    <row r="52" spans="1:32" x14ac:dyDescent="0.25">
      <c r="A52">
        <f t="shared" si="8"/>
        <v>51</v>
      </c>
      <c r="B52" t="s">
        <v>14</v>
      </c>
      <c r="C52" t="s">
        <v>17</v>
      </c>
      <c r="D52" t="s">
        <v>12</v>
      </c>
      <c r="E52" s="4">
        <v>13</v>
      </c>
      <c r="F52" s="4">
        <v>20</v>
      </c>
      <c r="G52" s="4">
        <v>7</v>
      </c>
      <c r="H52" s="4">
        <v>43</v>
      </c>
      <c r="I52" s="8">
        <f t="shared" si="9"/>
        <v>0.65</v>
      </c>
      <c r="J52">
        <v>3</v>
      </c>
      <c r="K52">
        <f t="shared" si="7"/>
        <v>4</v>
      </c>
      <c r="L52" s="4">
        <v>1</v>
      </c>
      <c r="M52" s="4">
        <v>0</v>
      </c>
      <c r="N52" s="4">
        <v>1</v>
      </c>
      <c r="O52" s="4">
        <v>0</v>
      </c>
      <c r="P52" s="4">
        <v>0</v>
      </c>
      <c r="Q52" s="4">
        <v>0</v>
      </c>
      <c r="R52" s="4">
        <v>0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</row>
    <row r="53" spans="1:32" x14ac:dyDescent="0.25">
      <c r="A53">
        <f t="shared" si="8"/>
        <v>52</v>
      </c>
      <c r="B53" t="s">
        <v>10</v>
      </c>
      <c r="C53" t="s">
        <v>27</v>
      </c>
      <c r="D53" t="s">
        <v>12</v>
      </c>
      <c r="E53" s="4">
        <v>20</v>
      </c>
      <c r="F53" s="4">
        <v>16</v>
      </c>
      <c r="G53" s="4">
        <v>4</v>
      </c>
      <c r="H53" s="4">
        <v>49</v>
      </c>
      <c r="I53" s="8">
        <f t="shared" si="9"/>
        <v>1.25</v>
      </c>
      <c r="J53">
        <v>1</v>
      </c>
      <c r="K53">
        <f t="shared" si="7"/>
        <v>4</v>
      </c>
      <c r="L53" s="4">
        <v>1</v>
      </c>
      <c r="M53" s="4">
        <v>1</v>
      </c>
      <c r="N53" s="4">
        <v>1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1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</row>
    <row r="54" spans="1:32" x14ac:dyDescent="0.25">
      <c r="A54">
        <f t="shared" si="8"/>
        <v>53</v>
      </c>
      <c r="B54" t="s">
        <v>28</v>
      </c>
      <c r="C54" t="s">
        <v>19</v>
      </c>
      <c r="D54" t="s">
        <v>13</v>
      </c>
      <c r="E54" s="4">
        <v>31</v>
      </c>
      <c r="F54" s="4">
        <v>17</v>
      </c>
      <c r="G54" s="4">
        <v>3</v>
      </c>
      <c r="H54" s="4">
        <v>68</v>
      </c>
      <c r="I54" s="8">
        <f t="shared" si="9"/>
        <v>1.8235294117647058</v>
      </c>
      <c r="J54">
        <v>1</v>
      </c>
      <c r="K54">
        <f t="shared" si="7"/>
        <v>4</v>
      </c>
      <c r="L54" s="4">
        <v>1</v>
      </c>
      <c r="M54" s="4">
        <v>1</v>
      </c>
      <c r="N54" s="4">
        <v>1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1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</row>
    <row r="55" spans="1:32" x14ac:dyDescent="0.25">
      <c r="A55">
        <f t="shared" si="8"/>
        <v>54</v>
      </c>
      <c r="B55" t="s">
        <v>9</v>
      </c>
      <c r="C55" t="s">
        <v>17</v>
      </c>
      <c r="D55" t="s">
        <v>12</v>
      </c>
      <c r="E55" s="4">
        <v>22</v>
      </c>
      <c r="F55" s="4">
        <v>19</v>
      </c>
      <c r="G55" s="4">
        <v>6</v>
      </c>
      <c r="H55" s="4">
        <v>58</v>
      </c>
      <c r="I55" s="8">
        <f t="shared" si="9"/>
        <v>1.1578947368421053</v>
      </c>
      <c r="J55">
        <v>1</v>
      </c>
      <c r="K55">
        <f t="shared" si="7"/>
        <v>4</v>
      </c>
      <c r="L55" s="4">
        <v>1</v>
      </c>
      <c r="M55" s="4">
        <v>1</v>
      </c>
      <c r="N55" s="4">
        <v>1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</row>
    <row r="56" spans="1:32" x14ac:dyDescent="0.25">
      <c r="A56">
        <f t="shared" si="8"/>
        <v>55</v>
      </c>
      <c r="B56" t="s">
        <v>14</v>
      </c>
      <c r="C56" t="s">
        <v>27</v>
      </c>
      <c r="D56" t="s">
        <v>12</v>
      </c>
      <c r="E56" s="4">
        <v>17</v>
      </c>
      <c r="F56" s="4">
        <v>18</v>
      </c>
      <c r="G56" s="4">
        <v>4</v>
      </c>
      <c r="H56" s="4">
        <v>42</v>
      </c>
      <c r="I56" s="8">
        <f t="shared" si="9"/>
        <v>0.94444444444444442</v>
      </c>
      <c r="J56">
        <v>2</v>
      </c>
      <c r="K56">
        <f t="shared" si="7"/>
        <v>4</v>
      </c>
      <c r="L56" s="4">
        <v>1</v>
      </c>
      <c r="M56" s="4">
        <v>1</v>
      </c>
      <c r="N56" s="4">
        <v>1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1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</row>
    <row r="57" spans="1:32" x14ac:dyDescent="0.25">
      <c r="A57">
        <f t="shared" si="8"/>
        <v>56</v>
      </c>
      <c r="B57" t="s">
        <v>9</v>
      </c>
      <c r="C57" t="s">
        <v>63</v>
      </c>
      <c r="D57" t="s">
        <v>12</v>
      </c>
      <c r="E57" s="4">
        <v>7</v>
      </c>
      <c r="F57" s="4">
        <v>15</v>
      </c>
      <c r="G57" s="4">
        <v>2</v>
      </c>
      <c r="H57" s="4">
        <v>16</v>
      </c>
      <c r="I57" s="8">
        <f t="shared" si="9"/>
        <v>0.46666666666666667</v>
      </c>
      <c r="J57">
        <v>5</v>
      </c>
      <c r="K57">
        <f t="shared" si="7"/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</row>
    <row r="58" spans="1:32" x14ac:dyDescent="0.25">
      <c r="A58">
        <f t="shared" si="8"/>
        <v>57</v>
      </c>
      <c r="B58" t="s">
        <v>28</v>
      </c>
      <c r="C58" t="s">
        <v>17</v>
      </c>
      <c r="D58" t="s">
        <v>12</v>
      </c>
      <c r="E58" s="4">
        <v>23</v>
      </c>
      <c r="F58" s="4">
        <v>18</v>
      </c>
      <c r="G58" s="4">
        <v>4</v>
      </c>
      <c r="H58" s="4">
        <v>58</v>
      </c>
      <c r="I58" s="8">
        <f t="shared" si="9"/>
        <v>1.2777777777777777</v>
      </c>
      <c r="J58">
        <v>1</v>
      </c>
      <c r="K58">
        <f t="shared" si="7"/>
        <v>2</v>
      </c>
      <c r="L58" s="4">
        <v>1</v>
      </c>
      <c r="M58" s="4">
        <v>0</v>
      </c>
      <c r="N58" s="4">
        <v>0</v>
      </c>
      <c r="O58" s="4">
        <v>0</v>
      </c>
      <c r="P58" s="4">
        <v>1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</row>
    <row r="59" spans="1:32" x14ac:dyDescent="0.25">
      <c r="A59">
        <f t="shared" ref="A59:A66" si="10">ROW()-1</f>
        <v>58</v>
      </c>
      <c r="B59" t="s">
        <v>10</v>
      </c>
      <c r="C59" t="s">
        <v>64</v>
      </c>
      <c r="D59" t="s">
        <v>12</v>
      </c>
      <c r="E59" s="4">
        <v>19</v>
      </c>
      <c r="F59" s="4">
        <v>16</v>
      </c>
      <c r="G59" s="4">
        <v>3</v>
      </c>
      <c r="H59" s="4">
        <v>51</v>
      </c>
      <c r="I59" s="8">
        <f t="shared" ref="I59:I66" si="11">E59/F59</f>
        <v>1.1875</v>
      </c>
      <c r="J59">
        <v>1</v>
      </c>
      <c r="K59">
        <f t="shared" si="7"/>
        <v>2</v>
      </c>
      <c r="L59" s="4">
        <v>1</v>
      </c>
      <c r="M59" s="4">
        <v>0</v>
      </c>
      <c r="N59" s="4">
        <v>0</v>
      </c>
      <c r="O59" s="4">
        <v>0</v>
      </c>
      <c r="P59" s="4">
        <v>1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</row>
    <row r="60" spans="1:32" x14ac:dyDescent="0.25">
      <c r="A60">
        <f t="shared" si="10"/>
        <v>59</v>
      </c>
      <c r="B60" t="s">
        <v>14</v>
      </c>
      <c r="C60" t="s">
        <v>46</v>
      </c>
      <c r="D60" t="s">
        <v>12</v>
      </c>
      <c r="E60" s="4">
        <v>21</v>
      </c>
      <c r="F60" s="4">
        <v>14</v>
      </c>
      <c r="G60" s="4">
        <v>4</v>
      </c>
      <c r="H60" s="4">
        <v>46</v>
      </c>
      <c r="I60" s="8">
        <f t="shared" si="11"/>
        <v>1.5</v>
      </c>
      <c r="J60">
        <v>1</v>
      </c>
      <c r="K60">
        <f t="shared" si="7"/>
        <v>3</v>
      </c>
      <c r="L60" s="4">
        <v>1</v>
      </c>
      <c r="M60" s="4">
        <v>1</v>
      </c>
      <c r="N60" s="4">
        <v>1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</row>
    <row r="61" spans="1:32" x14ac:dyDescent="0.25">
      <c r="A61">
        <f t="shared" si="10"/>
        <v>60</v>
      </c>
      <c r="B61" t="s">
        <v>9</v>
      </c>
      <c r="C61" t="s">
        <v>20</v>
      </c>
      <c r="D61" t="s">
        <v>13</v>
      </c>
      <c r="E61" s="4">
        <v>13</v>
      </c>
      <c r="F61" s="4">
        <v>15</v>
      </c>
      <c r="G61" s="4">
        <v>2</v>
      </c>
      <c r="H61" s="4">
        <v>41</v>
      </c>
      <c r="I61" s="8">
        <f t="shared" si="11"/>
        <v>0.8666666666666667</v>
      </c>
      <c r="J61">
        <v>3</v>
      </c>
      <c r="K61">
        <f t="shared" si="7"/>
        <v>3</v>
      </c>
      <c r="L61" s="4">
        <v>1</v>
      </c>
      <c r="M61" s="4">
        <v>1</v>
      </c>
      <c r="N61" s="4">
        <v>1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</row>
    <row r="62" spans="1:32" x14ac:dyDescent="0.25">
      <c r="A62">
        <f t="shared" si="10"/>
        <v>61</v>
      </c>
      <c r="B62" t="s">
        <v>28</v>
      </c>
      <c r="C62" t="s">
        <v>15</v>
      </c>
      <c r="D62" t="s">
        <v>12</v>
      </c>
      <c r="E62" s="4">
        <v>25</v>
      </c>
      <c r="F62" s="4">
        <v>23</v>
      </c>
      <c r="G62" s="4">
        <v>7</v>
      </c>
      <c r="H62" s="4">
        <v>64</v>
      </c>
      <c r="I62" s="8">
        <f t="shared" si="11"/>
        <v>1.0869565217391304</v>
      </c>
      <c r="J62">
        <v>1</v>
      </c>
      <c r="K62">
        <f t="shared" si="7"/>
        <v>2</v>
      </c>
      <c r="L62" s="4">
        <v>1</v>
      </c>
      <c r="M62" s="4">
        <v>1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t="s">
        <v>58</v>
      </c>
    </row>
    <row r="63" spans="1:32" x14ac:dyDescent="0.25">
      <c r="A63">
        <f t="shared" si="10"/>
        <v>62</v>
      </c>
      <c r="B63" t="s">
        <v>14</v>
      </c>
      <c r="C63" t="s">
        <v>64</v>
      </c>
      <c r="D63" t="s">
        <v>12</v>
      </c>
      <c r="E63" s="4">
        <v>14</v>
      </c>
      <c r="F63" s="4">
        <v>17</v>
      </c>
      <c r="G63" s="4">
        <v>3</v>
      </c>
      <c r="H63" s="4">
        <v>31</v>
      </c>
      <c r="I63" s="8">
        <f t="shared" si="11"/>
        <v>0.82352941176470584</v>
      </c>
      <c r="J63">
        <v>2</v>
      </c>
      <c r="K63">
        <f t="shared" si="7"/>
        <v>2</v>
      </c>
      <c r="L63" s="4">
        <v>1</v>
      </c>
      <c r="M63" s="4">
        <v>1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</row>
    <row r="64" spans="1:32" x14ac:dyDescent="0.25">
      <c r="A64">
        <f t="shared" si="10"/>
        <v>63</v>
      </c>
      <c r="B64" t="s">
        <v>32</v>
      </c>
      <c r="C64" t="s">
        <v>18</v>
      </c>
      <c r="D64" t="s">
        <v>13</v>
      </c>
      <c r="E64" s="4">
        <v>14</v>
      </c>
      <c r="F64" s="4">
        <v>10</v>
      </c>
      <c r="G64" s="4">
        <v>3</v>
      </c>
      <c r="H64" s="4">
        <v>29</v>
      </c>
      <c r="I64" s="8">
        <f t="shared" si="11"/>
        <v>1.4</v>
      </c>
      <c r="J64">
        <v>5</v>
      </c>
      <c r="K64">
        <f t="shared" si="7"/>
        <v>2</v>
      </c>
      <c r="L64" s="4">
        <v>1</v>
      </c>
      <c r="M64" s="4">
        <v>1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</row>
    <row r="65" spans="1:32" x14ac:dyDescent="0.25">
      <c r="A65">
        <f t="shared" si="10"/>
        <v>64</v>
      </c>
      <c r="B65" t="s">
        <v>9</v>
      </c>
      <c r="C65" t="s">
        <v>17</v>
      </c>
      <c r="D65" t="s">
        <v>12</v>
      </c>
      <c r="E65" s="4">
        <v>15</v>
      </c>
      <c r="F65" s="4">
        <v>18</v>
      </c>
      <c r="G65" s="4">
        <v>5</v>
      </c>
      <c r="H65" s="4">
        <v>47</v>
      </c>
      <c r="I65" s="8">
        <f t="shared" si="11"/>
        <v>0.83333333333333337</v>
      </c>
      <c r="J65">
        <v>1</v>
      </c>
      <c r="K65">
        <f t="shared" si="7"/>
        <v>1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</row>
    <row r="66" spans="1:32" x14ac:dyDescent="0.25">
      <c r="A66">
        <f t="shared" si="10"/>
        <v>65</v>
      </c>
      <c r="B66" t="s">
        <v>10</v>
      </c>
      <c r="C66" t="s">
        <v>66</v>
      </c>
      <c r="D66" t="s">
        <v>13</v>
      </c>
      <c r="E66" s="4">
        <v>16</v>
      </c>
      <c r="F66" s="4">
        <v>10</v>
      </c>
      <c r="G66" s="4">
        <v>4</v>
      </c>
      <c r="H66" s="4">
        <v>44</v>
      </c>
      <c r="I66" s="8">
        <f t="shared" si="11"/>
        <v>1.6</v>
      </c>
      <c r="J66">
        <v>2</v>
      </c>
      <c r="K66">
        <f t="shared" ref="K66:K97" si="12">SUM(L66:AE66)</f>
        <v>3</v>
      </c>
      <c r="L66" s="4">
        <v>0</v>
      </c>
      <c r="M66" s="4">
        <v>1</v>
      </c>
      <c r="N66" s="4">
        <v>0</v>
      </c>
      <c r="O66" s="4">
        <v>0</v>
      </c>
      <c r="P66" s="4">
        <v>1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</row>
    <row r="67" spans="1:32" x14ac:dyDescent="0.25">
      <c r="A67">
        <f t="shared" ref="A67:A74" si="13">ROW()-1</f>
        <v>66</v>
      </c>
      <c r="B67" t="s">
        <v>14</v>
      </c>
      <c r="C67" t="s">
        <v>33</v>
      </c>
      <c r="D67" t="s">
        <v>12</v>
      </c>
      <c r="E67" s="4">
        <v>11</v>
      </c>
      <c r="F67" s="4">
        <v>21</v>
      </c>
      <c r="G67" s="4">
        <v>4</v>
      </c>
      <c r="H67" s="4">
        <v>30</v>
      </c>
      <c r="I67" s="8">
        <f t="shared" ref="I67:I74" si="14">E67/F67</f>
        <v>0.52380952380952384</v>
      </c>
      <c r="J67">
        <v>5</v>
      </c>
      <c r="K67">
        <f t="shared" si="12"/>
        <v>3</v>
      </c>
      <c r="L67" s="4">
        <v>0</v>
      </c>
      <c r="M67" s="4">
        <v>1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1</v>
      </c>
      <c r="W67" s="4">
        <v>0</v>
      </c>
      <c r="X67" s="4">
        <v>1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</row>
    <row r="68" spans="1:32" x14ac:dyDescent="0.25">
      <c r="A68">
        <f t="shared" si="13"/>
        <v>67</v>
      </c>
      <c r="B68" t="s">
        <v>14</v>
      </c>
      <c r="C68" t="s">
        <v>34</v>
      </c>
      <c r="D68" t="s">
        <v>12</v>
      </c>
      <c r="E68" s="4">
        <v>17</v>
      </c>
      <c r="F68" s="4">
        <v>24</v>
      </c>
      <c r="G68" s="4">
        <v>5</v>
      </c>
      <c r="H68" s="4">
        <v>42</v>
      </c>
      <c r="I68" s="8">
        <f t="shared" si="14"/>
        <v>0.70833333333333337</v>
      </c>
      <c r="J68">
        <v>5</v>
      </c>
      <c r="K68">
        <f t="shared" si="12"/>
        <v>3</v>
      </c>
      <c r="L68" s="4">
        <v>1</v>
      </c>
      <c r="M68" s="4">
        <v>1</v>
      </c>
      <c r="N68" s="4">
        <v>0</v>
      </c>
      <c r="O68" s="4">
        <v>0</v>
      </c>
      <c r="P68" s="4">
        <v>1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t="s">
        <v>58</v>
      </c>
    </row>
    <row r="69" spans="1:32" ht="13.5" customHeight="1" x14ac:dyDescent="0.25">
      <c r="A69">
        <f t="shared" si="13"/>
        <v>68</v>
      </c>
      <c r="B69" t="s">
        <v>9</v>
      </c>
      <c r="C69" t="s">
        <v>46</v>
      </c>
      <c r="D69" t="s">
        <v>12</v>
      </c>
      <c r="E69" s="4">
        <v>10</v>
      </c>
      <c r="F69" s="4">
        <v>17</v>
      </c>
      <c r="G69" s="4">
        <v>3</v>
      </c>
      <c r="H69" s="4">
        <v>22</v>
      </c>
      <c r="I69" s="8">
        <f t="shared" si="14"/>
        <v>0.58823529411764708</v>
      </c>
      <c r="J69">
        <v>5</v>
      </c>
      <c r="K69">
        <f t="shared" si="12"/>
        <v>3</v>
      </c>
      <c r="L69" s="4">
        <v>1</v>
      </c>
      <c r="M69" s="4">
        <v>1</v>
      </c>
      <c r="N69" s="4">
        <v>0</v>
      </c>
      <c r="O69" s="4">
        <v>0</v>
      </c>
      <c r="P69" s="4">
        <v>1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</row>
    <row r="70" spans="1:32" ht="13.5" customHeight="1" x14ac:dyDescent="0.25">
      <c r="A70">
        <f t="shared" si="13"/>
        <v>69</v>
      </c>
      <c r="B70" t="s">
        <v>9</v>
      </c>
      <c r="C70" t="s">
        <v>20</v>
      </c>
      <c r="D70" t="s">
        <v>13</v>
      </c>
      <c r="E70" s="4">
        <v>20</v>
      </c>
      <c r="F70" s="4">
        <v>14</v>
      </c>
      <c r="G70" s="4">
        <v>4</v>
      </c>
      <c r="H70" s="4">
        <v>52</v>
      </c>
      <c r="I70" s="8">
        <f t="shared" si="14"/>
        <v>1.4285714285714286</v>
      </c>
      <c r="J70">
        <v>1</v>
      </c>
      <c r="K70">
        <f t="shared" si="12"/>
        <v>3</v>
      </c>
      <c r="L70" s="4">
        <v>1</v>
      </c>
      <c r="M70" s="4">
        <v>1</v>
      </c>
      <c r="N70" s="4">
        <v>1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</row>
    <row r="71" spans="1:32" ht="13.5" customHeight="1" x14ac:dyDescent="0.25">
      <c r="A71">
        <f t="shared" si="13"/>
        <v>70</v>
      </c>
      <c r="B71" t="s">
        <v>32</v>
      </c>
      <c r="C71" t="s">
        <v>20</v>
      </c>
      <c r="D71" t="s">
        <v>13</v>
      </c>
      <c r="E71" s="4">
        <v>18</v>
      </c>
      <c r="F71" s="4">
        <v>11</v>
      </c>
      <c r="G71" s="4">
        <v>4</v>
      </c>
      <c r="H71" s="4">
        <v>48</v>
      </c>
      <c r="I71" s="8">
        <f t="shared" si="14"/>
        <v>1.6363636363636365</v>
      </c>
      <c r="J71">
        <v>1</v>
      </c>
      <c r="K71">
        <f t="shared" si="12"/>
        <v>3</v>
      </c>
      <c r="L71" s="4">
        <v>1</v>
      </c>
      <c r="M71" s="4">
        <v>1</v>
      </c>
      <c r="N71" s="4">
        <v>1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</row>
    <row r="72" spans="1:32" ht="13.5" customHeight="1" x14ac:dyDescent="0.25">
      <c r="A72">
        <f t="shared" si="13"/>
        <v>71</v>
      </c>
      <c r="B72" t="s">
        <v>28</v>
      </c>
      <c r="C72" t="s">
        <v>20</v>
      </c>
      <c r="D72" t="s">
        <v>13</v>
      </c>
      <c r="E72" s="4">
        <v>15</v>
      </c>
      <c r="F72" s="4">
        <v>14</v>
      </c>
      <c r="G72" s="4">
        <v>1</v>
      </c>
      <c r="H72" s="4">
        <v>52</v>
      </c>
      <c r="I72" s="8">
        <f t="shared" si="14"/>
        <v>1.0714285714285714</v>
      </c>
      <c r="J72">
        <v>2</v>
      </c>
      <c r="K72">
        <f t="shared" si="12"/>
        <v>2</v>
      </c>
      <c r="L72" s="4">
        <v>1</v>
      </c>
      <c r="M72" s="4">
        <v>0</v>
      </c>
      <c r="N72" s="4">
        <v>0</v>
      </c>
      <c r="O72" s="4">
        <v>0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</row>
    <row r="73" spans="1:32" x14ac:dyDescent="0.25">
      <c r="A73">
        <f t="shared" si="13"/>
        <v>72</v>
      </c>
      <c r="B73" t="s">
        <v>32</v>
      </c>
      <c r="C73" t="s">
        <v>33</v>
      </c>
      <c r="D73" t="s">
        <v>12</v>
      </c>
      <c r="E73" s="4">
        <v>12</v>
      </c>
      <c r="F73" s="4">
        <v>16</v>
      </c>
      <c r="G73" s="4">
        <v>0</v>
      </c>
      <c r="H73" s="4">
        <v>33</v>
      </c>
      <c r="I73" s="8">
        <f t="shared" si="14"/>
        <v>0.75</v>
      </c>
      <c r="J73">
        <v>3</v>
      </c>
      <c r="K73">
        <f t="shared" si="12"/>
        <v>4</v>
      </c>
      <c r="L73" s="4">
        <v>1</v>
      </c>
      <c r="M73" s="4">
        <v>0</v>
      </c>
      <c r="N73" s="4">
        <v>1</v>
      </c>
      <c r="O73" s="4">
        <v>0</v>
      </c>
      <c r="P73" s="4">
        <v>1</v>
      </c>
      <c r="Q73" s="4">
        <v>1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</row>
    <row r="74" spans="1:32" x14ac:dyDescent="0.25">
      <c r="A74">
        <f t="shared" si="13"/>
        <v>73</v>
      </c>
      <c r="B74" t="s">
        <v>28</v>
      </c>
      <c r="C74" t="s">
        <v>20</v>
      </c>
      <c r="D74" t="s">
        <v>13</v>
      </c>
      <c r="E74" s="4">
        <v>24</v>
      </c>
      <c r="F74" s="4">
        <v>16</v>
      </c>
      <c r="G74" s="4">
        <v>4</v>
      </c>
      <c r="H74" s="4">
        <v>58</v>
      </c>
      <c r="I74" s="8">
        <f t="shared" si="14"/>
        <v>1.5</v>
      </c>
      <c r="J74">
        <v>1</v>
      </c>
      <c r="K74">
        <f t="shared" si="12"/>
        <v>2</v>
      </c>
      <c r="L74" s="4">
        <v>0</v>
      </c>
      <c r="M74" s="4">
        <v>1</v>
      </c>
      <c r="N74" s="4">
        <v>1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</row>
    <row r="75" spans="1:32" x14ac:dyDescent="0.25">
      <c r="A75">
        <f t="shared" ref="A75:A83" si="15">ROW()-1</f>
        <v>74</v>
      </c>
      <c r="B75" t="s">
        <v>32</v>
      </c>
      <c r="C75" t="s">
        <v>29</v>
      </c>
      <c r="D75" t="s">
        <v>5</v>
      </c>
      <c r="E75" s="4">
        <v>32</v>
      </c>
      <c r="F75" s="4">
        <v>21</v>
      </c>
      <c r="G75" s="4">
        <v>4</v>
      </c>
      <c r="H75" s="4">
        <v>83</v>
      </c>
      <c r="I75" s="8">
        <f t="shared" ref="I75:I83" si="16">E75/F75</f>
        <v>1.5238095238095237</v>
      </c>
      <c r="J75">
        <v>1</v>
      </c>
      <c r="K75">
        <f t="shared" si="12"/>
        <v>3</v>
      </c>
      <c r="L75" s="4">
        <v>1</v>
      </c>
      <c r="M75" s="4">
        <v>1</v>
      </c>
      <c r="N75" s="4">
        <v>1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t="s">
        <v>58</v>
      </c>
    </row>
    <row r="76" spans="1:32" x14ac:dyDescent="0.25">
      <c r="A76">
        <f t="shared" si="15"/>
        <v>75</v>
      </c>
      <c r="B76" t="s">
        <v>14</v>
      </c>
      <c r="C76" t="s">
        <v>61</v>
      </c>
      <c r="D76" t="s">
        <v>12</v>
      </c>
      <c r="E76" s="4">
        <v>13</v>
      </c>
      <c r="F76" s="4">
        <v>15</v>
      </c>
      <c r="G76" s="4">
        <v>1</v>
      </c>
      <c r="H76" s="4">
        <v>35</v>
      </c>
      <c r="I76" s="8">
        <f t="shared" si="16"/>
        <v>0.8666666666666667</v>
      </c>
      <c r="J76">
        <v>1</v>
      </c>
      <c r="K76">
        <f t="shared" si="12"/>
        <v>3</v>
      </c>
      <c r="L76" s="4">
        <v>1</v>
      </c>
      <c r="M76" s="4">
        <v>1</v>
      </c>
      <c r="N76" s="4">
        <v>1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</row>
    <row r="77" spans="1:32" x14ac:dyDescent="0.25">
      <c r="A77">
        <f t="shared" si="15"/>
        <v>76</v>
      </c>
      <c r="B77" t="s">
        <v>32</v>
      </c>
      <c r="C77" t="s">
        <v>20</v>
      </c>
      <c r="D77" t="s">
        <v>13</v>
      </c>
      <c r="E77" s="4">
        <v>18</v>
      </c>
      <c r="F77" s="4">
        <v>17</v>
      </c>
      <c r="G77" s="4">
        <v>6</v>
      </c>
      <c r="H77" s="4">
        <v>44</v>
      </c>
      <c r="I77" s="8">
        <f t="shared" si="16"/>
        <v>1.0588235294117647</v>
      </c>
      <c r="J77">
        <v>2</v>
      </c>
      <c r="K77">
        <f t="shared" si="12"/>
        <v>2</v>
      </c>
      <c r="L77" s="4">
        <v>1</v>
      </c>
      <c r="M77" s="4">
        <v>1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</row>
    <row r="78" spans="1:32" x14ac:dyDescent="0.25">
      <c r="A78">
        <f t="shared" si="15"/>
        <v>77</v>
      </c>
      <c r="B78" t="s">
        <v>9</v>
      </c>
      <c r="C78" t="s">
        <v>17</v>
      </c>
      <c r="D78" t="s">
        <v>12</v>
      </c>
      <c r="E78" s="4">
        <v>17</v>
      </c>
      <c r="F78" s="4">
        <v>20</v>
      </c>
      <c r="G78" s="4">
        <v>4</v>
      </c>
      <c r="H78" s="4">
        <v>43</v>
      </c>
      <c r="I78" s="8">
        <f t="shared" si="16"/>
        <v>0.85</v>
      </c>
      <c r="J78">
        <v>3</v>
      </c>
      <c r="K78">
        <f t="shared" si="12"/>
        <v>2</v>
      </c>
      <c r="L78" s="4">
        <v>1</v>
      </c>
      <c r="M78" s="4">
        <v>1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</row>
    <row r="79" spans="1:32" x14ac:dyDescent="0.25">
      <c r="A79">
        <f t="shared" si="15"/>
        <v>78</v>
      </c>
      <c r="B79" t="s">
        <v>11</v>
      </c>
      <c r="C79" t="s">
        <v>64</v>
      </c>
      <c r="D79" t="s">
        <v>12</v>
      </c>
      <c r="E79" s="4">
        <v>8</v>
      </c>
      <c r="F79" s="4">
        <v>15</v>
      </c>
      <c r="G79" s="4">
        <v>5</v>
      </c>
      <c r="H79" s="4">
        <v>25</v>
      </c>
      <c r="I79" s="8">
        <f t="shared" si="16"/>
        <v>0.53333333333333333</v>
      </c>
      <c r="J79">
        <v>5</v>
      </c>
      <c r="K79">
        <f t="shared" si="12"/>
        <v>2</v>
      </c>
      <c r="L79" s="4">
        <v>1</v>
      </c>
      <c r="M79" s="4">
        <v>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</row>
    <row r="80" spans="1:32" x14ac:dyDescent="0.25">
      <c r="A80">
        <f t="shared" si="15"/>
        <v>79</v>
      </c>
      <c r="B80" t="s">
        <v>9</v>
      </c>
      <c r="C80" t="s">
        <v>17</v>
      </c>
      <c r="D80" t="s">
        <v>12</v>
      </c>
      <c r="E80" s="4">
        <v>20</v>
      </c>
      <c r="F80" s="4">
        <v>16</v>
      </c>
      <c r="G80" s="4">
        <v>7</v>
      </c>
      <c r="H80" s="4">
        <v>54</v>
      </c>
      <c r="I80" s="8">
        <f t="shared" si="16"/>
        <v>1.25</v>
      </c>
      <c r="J80">
        <v>1</v>
      </c>
      <c r="K80">
        <f t="shared" si="12"/>
        <v>2</v>
      </c>
      <c r="L80" s="4">
        <v>1</v>
      </c>
      <c r="M80" s="4">
        <v>1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</row>
    <row r="81" spans="1:32" x14ac:dyDescent="0.25">
      <c r="A81">
        <f t="shared" si="15"/>
        <v>80</v>
      </c>
      <c r="B81" t="s">
        <v>28</v>
      </c>
      <c r="C81" t="s">
        <v>23</v>
      </c>
      <c r="D81" t="s">
        <v>12</v>
      </c>
      <c r="E81" s="4">
        <v>16</v>
      </c>
      <c r="F81" s="4">
        <v>18</v>
      </c>
      <c r="G81" s="4">
        <v>2</v>
      </c>
      <c r="H81" s="4">
        <v>40</v>
      </c>
      <c r="I81" s="8">
        <f t="shared" si="16"/>
        <v>0.88888888888888884</v>
      </c>
      <c r="J81">
        <v>1</v>
      </c>
      <c r="K81">
        <f t="shared" si="12"/>
        <v>2</v>
      </c>
      <c r="L81" s="4">
        <v>1</v>
      </c>
      <c r="M81" s="4">
        <v>1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</row>
    <row r="82" spans="1:32" x14ac:dyDescent="0.25">
      <c r="A82">
        <f t="shared" si="15"/>
        <v>81</v>
      </c>
      <c r="B82" t="s">
        <v>14</v>
      </c>
      <c r="C82" t="s">
        <v>20</v>
      </c>
      <c r="D82" t="s">
        <v>13</v>
      </c>
      <c r="E82" s="4">
        <v>17</v>
      </c>
      <c r="F82" s="4">
        <v>15</v>
      </c>
      <c r="G82" s="4">
        <v>4</v>
      </c>
      <c r="H82" s="4">
        <v>41</v>
      </c>
      <c r="I82" s="8">
        <f t="shared" si="16"/>
        <v>1.1333333333333333</v>
      </c>
      <c r="J82">
        <v>2</v>
      </c>
      <c r="K82">
        <f t="shared" si="12"/>
        <v>3</v>
      </c>
      <c r="L82" s="4">
        <v>1</v>
      </c>
      <c r="M82" s="4">
        <v>1</v>
      </c>
      <c r="N82" s="4">
        <v>1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</row>
    <row r="83" spans="1:32" x14ac:dyDescent="0.25">
      <c r="A83">
        <f t="shared" si="15"/>
        <v>82</v>
      </c>
      <c r="B83" t="s">
        <v>32</v>
      </c>
      <c r="C83" t="s">
        <v>34</v>
      </c>
      <c r="D83" t="s">
        <v>12</v>
      </c>
      <c r="E83" s="4">
        <v>13</v>
      </c>
      <c r="F83" s="4">
        <v>25</v>
      </c>
      <c r="G83" s="4">
        <v>12</v>
      </c>
      <c r="H83" s="4">
        <v>47</v>
      </c>
      <c r="I83" s="8">
        <f t="shared" si="16"/>
        <v>0.52</v>
      </c>
      <c r="J83">
        <v>5</v>
      </c>
      <c r="K83">
        <f t="shared" si="12"/>
        <v>2</v>
      </c>
      <c r="L83" s="4">
        <v>0</v>
      </c>
      <c r="M83" s="4">
        <v>1</v>
      </c>
      <c r="N83" s="4">
        <v>1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</row>
    <row r="84" spans="1:32" x14ac:dyDescent="0.25">
      <c r="A84">
        <f t="shared" ref="A84:A91" si="17">ROW()-1</f>
        <v>83</v>
      </c>
      <c r="B84" t="s">
        <v>14</v>
      </c>
      <c r="C84" t="s">
        <v>49</v>
      </c>
      <c r="D84" t="s">
        <v>13</v>
      </c>
      <c r="E84" s="4">
        <v>17</v>
      </c>
      <c r="F84" s="4">
        <v>4</v>
      </c>
      <c r="G84" s="4">
        <v>2</v>
      </c>
      <c r="H84" s="4">
        <v>36</v>
      </c>
      <c r="I84" s="8">
        <f t="shared" ref="I84:I91" si="18">E84/F84</f>
        <v>4.25</v>
      </c>
      <c r="J84">
        <v>3</v>
      </c>
      <c r="K84">
        <f t="shared" si="12"/>
        <v>2</v>
      </c>
      <c r="L84" s="4">
        <v>1</v>
      </c>
      <c r="M84" s="4">
        <v>1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</row>
    <row r="85" spans="1:32" x14ac:dyDescent="0.25">
      <c r="A85">
        <f t="shared" si="17"/>
        <v>84</v>
      </c>
      <c r="B85" t="s">
        <v>9</v>
      </c>
      <c r="C85" t="s">
        <v>63</v>
      </c>
      <c r="D85" t="s">
        <v>12</v>
      </c>
      <c r="E85" s="4">
        <v>8</v>
      </c>
      <c r="F85" s="4">
        <v>15</v>
      </c>
      <c r="G85" s="4">
        <v>3</v>
      </c>
      <c r="H85" s="4">
        <v>20</v>
      </c>
      <c r="I85" s="8">
        <f t="shared" si="18"/>
        <v>0.53333333333333333</v>
      </c>
      <c r="J85">
        <v>2</v>
      </c>
      <c r="K85">
        <f t="shared" si="12"/>
        <v>2</v>
      </c>
      <c r="L85" s="4">
        <v>1</v>
      </c>
      <c r="M85" s="4">
        <v>1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</row>
    <row r="86" spans="1:32" x14ac:dyDescent="0.25">
      <c r="A86">
        <f t="shared" si="17"/>
        <v>85</v>
      </c>
      <c r="B86" t="s">
        <v>48</v>
      </c>
      <c r="C86" t="s">
        <v>64</v>
      </c>
      <c r="D86" t="s">
        <v>12</v>
      </c>
      <c r="E86" s="4">
        <v>20</v>
      </c>
      <c r="F86" s="4">
        <v>17</v>
      </c>
      <c r="G86" s="4">
        <v>4</v>
      </c>
      <c r="H86" s="4">
        <v>49</v>
      </c>
      <c r="I86" s="8">
        <f t="shared" si="18"/>
        <v>1.1764705882352942</v>
      </c>
      <c r="J86">
        <v>1</v>
      </c>
      <c r="K86">
        <f t="shared" si="12"/>
        <v>2</v>
      </c>
      <c r="L86" s="4">
        <v>1</v>
      </c>
      <c r="M86" s="4">
        <v>1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</row>
    <row r="87" spans="1:32" x14ac:dyDescent="0.25">
      <c r="A87">
        <f t="shared" si="17"/>
        <v>86</v>
      </c>
      <c r="B87" t="s">
        <v>10</v>
      </c>
      <c r="C87" t="s">
        <v>31</v>
      </c>
      <c r="D87" t="s">
        <v>13</v>
      </c>
      <c r="E87" s="4">
        <v>12</v>
      </c>
      <c r="F87" s="4">
        <v>12</v>
      </c>
      <c r="G87" s="4">
        <v>6</v>
      </c>
      <c r="H87" s="4">
        <v>34</v>
      </c>
      <c r="I87" s="8">
        <f t="shared" si="18"/>
        <v>1</v>
      </c>
      <c r="J87">
        <v>4</v>
      </c>
      <c r="K87">
        <f t="shared" si="12"/>
        <v>2</v>
      </c>
      <c r="L87" s="4">
        <v>0</v>
      </c>
      <c r="M87" s="4">
        <v>1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</row>
    <row r="88" spans="1:32" x14ac:dyDescent="0.25">
      <c r="A88">
        <f t="shared" si="17"/>
        <v>87</v>
      </c>
      <c r="B88" t="s">
        <v>48</v>
      </c>
      <c r="C88" t="s">
        <v>44</v>
      </c>
      <c r="D88" t="s">
        <v>13</v>
      </c>
      <c r="E88" s="4">
        <v>12</v>
      </c>
      <c r="F88" s="4">
        <v>7</v>
      </c>
      <c r="G88" s="4">
        <v>5</v>
      </c>
      <c r="H88" s="4">
        <v>36</v>
      </c>
      <c r="I88" s="8">
        <f t="shared" si="18"/>
        <v>1.7142857142857142</v>
      </c>
      <c r="J88">
        <v>3</v>
      </c>
      <c r="K88">
        <f t="shared" si="12"/>
        <v>2</v>
      </c>
      <c r="L88" s="4">
        <v>0</v>
      </c>
      <c r="M88" s="4">
        <v>1</v>
      </c>
      <c r="N88" s="4">
        <v>1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</row>
    <row r="89" spans="1:32" x14ac:dyDescent="0.25">
      <c r="A89">
        <f t="shared" si="17"/>
        <v>88</v>
      </c>
      <c r="B89" t="s">
        <v>32</v>
      </c>
      <c r="C89" t="s">
        <v>16</v>
      </c>
      <c r="D89" t="s">
        <v>13</v>
      </c>
      <c r="E89" s="4">
        <v>27</v>
      </c>
      <c r="F89" s="4">
        <v>13</v>
      </c>
      <c r="G89" s="4">
        <v>3</v>
      </c>
      <c r="H89" s="4">
        <v>70</v>
      </c>
      <c r="I89" s="8">
        <f t="shared" si="18"/>
        <v>2.0769230769230771</v>
      </c>
      <c r="J89">
        <v>1</v>
      </c>
      <c r="K89">
        <f t="shared" si="12"/>
        <v>4</v>
      </c>
      <c r="L89" s="4">
        <v>1</v>
      </c>
      <c r="M89" s="4">
        <v>1</v>
      </c>
      <c r="N89" s="4">
        <v>1</v>
      </c>
      <c r="O89" s="4">
        <v>1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</row>
    <row r="90" spans="1:32" x14ac:dyDescent="0.25">
      <c r="A90">
        <f t="shared" si="17"/>
        <v>89</v>
      </c>
      <c r="B90" t="s">
        <v>10</v>
      </c>
      <c r="C90" t="s">
        <v>18</v>
      </c>
      <c r="D90" t="s">
        <v>13</v>
      </c>
      <c r="E90" s="4">
        <v>22</v>
      </c>
      <c r="F90" s="4">
        <v>9</v>
      </c>
      <c r="G90" s="4">
        <v>4</v>
      </c>
      <c r="H90" s="4">
        <v>55</v>
      </c>
      <c r="I90" s="8">
        <f t="shared" si="18"/>
        <v>2.4444444444444446</v>
      </c>
      <c r="J90">
        <v>1</v>
      </c>
      <c r="K90">
        <f t="shared" si="12"/>
        <v>4</v>
      </c>
      <c r="L90" s="4">
        <v>1</v>
      </c>
      <c r="M90" s="4">
        <v>1</v>
      </c>
      <c r="N90" s="4">
        <v>1</v>
      </c>
      <c r="O90" s="4">
        <v>1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</row>
    <row r="91" spans="1:32" x14ac:dyDescent="0.25">
      <c r="A91">
        <f t="shared" si="17"/>
        <v>90</v>
      </c>
      <c r="B91" t="s">
        <v>14</v>
      </c>
      <c r="C91" t="s">
        <v>44</v>
      </c>
      <c r="D91" t="s">
        <v>13</v>
      </c>
      <c r="E91" s="4">
        <v>21</v>
      </c>
      <c r="F91" s="4">
        <v>3</v>
      </c>
      <c r="G91" s="4">
        <v>3</v>
      </c>
      <c r="H91" s="4">
        <v>47</v>
      </c>
      <c r="I91" s="8">
        <f t="shared" si="18"/>
        <v>7</v>
      </c>
      <c r="J91">
        <v>1</v>
      </c>
      <c r="K91">
        <f t="shared" si="12"/>
        <v>4</v>
      </c>
      <c r="L91" s="4">
        <v>1</v>
      </c>
      <c r="M91" s="4">
        <v>1</v>
      </c>
      <c r="N91" s="4">
        <v>1</v>
      </c>
      <c r="O91" s="4">
        <v>1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</row>
    <row r="92" spans="1:32" x14ac:dyDescent="0.25">
      <c r="A92">
        <f t="shared" ref="A92:A99" si="19">ROW()-1</f>
        <v>91</v>
      </c>
      <c r="B92" t="s">
        <v>48</v>
      </c>
      <c r="C92" t="s">
        <v>30</v>
      </c>
      <c r="D92" t="s">
        <v>13</v>
      </c>
      <c r="E92" s="4">
        <v>20</v>
      </c>
      <c r="F92" s="4">
        <v>10</v>
      </c>
      <c r="G92" s="4">
        <v>4</v>
      </c>
      <c r="H92" s="4">
        <v>57</v>
      </c>
      <c r="I92" s="8">
        <f t="shared" ref="I92:I99" si="20">E92/F92</f>
        <v>2</v>
      </c>
      <c r="J92">
        <v>2</v>
      </c>
      <c r="K92">
        <f t="shared" si="12"/>
        <v>2</v>
      </c>
      <c r="L92" s="4">
        <v>0</v>
      </c>
      <c r="M92" s="4">
        <v>1</v>
      </c>
      <c r="N92" s="4">
        <v>1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</row>
    <row r="93" spans="1:32" x14ac:dyDescent="0.25">
      <c r="A93">
        <f t="shared" si="19"/>
        <v>92</v>
      </c>
      <c r="B93" t="s">
        <v>14</v>
      </c>
      <c r="C93" t="s">
        <v>19</v>
      </c>
      <c r="D93" t="s">
        <v>13</v>
      </c>
      <c r="E93" s="4">
        <v>14</v>
      </c>
      <c r="F93" s="4">
        <v>19</v>
      </c>
      <c r="G93" s="4">
        <v>8</v>
      </c>
      <c r="H93" s="4">
        <v>49</v>
      </c>
      <c r="I93" s="8">
        <f t="shared" si="20"/>
        <v>0.73684210526315785</v>
      </c>
      <c r="J93">
        <v>2</v>
      </c>
      <c r="K93">
        <f t="shared" si="12"/>
        <v>2</v>
      </c>
      <c r="L93" s="4">
        <v>0</v>
      </c>
      <c r="M93" s="4">
        <v>1</v>
      </c>
      <c r="N93" s="4">
        <v>1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</row>
    <row r="94" spans="1:32" x14ac:dyDescent="0.25">
      <c r="A94">
        <f t="shared" si="19"/>
        <v>93</v>
      </c>
      <c r="B94" t="s">
        <v>10</v>
      </c>
      <c r="C94" t="s">
        <v>29</v>
      </c>
      <c r="D94" t="s">
        <v>5</v>
      </c>
      <c r="E94" s="4">
        <v>26</v>
      </c>
      <c r="F94" s="4">
        <v>17</v>
      </c>
      <c r="G94" s="4">
        <v>9</v>
      </c>
      <c r="H94" s="4">
        <v>69</v>
      </c>
      <c r="I94" s="8">
        <f t="shared" si="20"/>
        <v>1.5294117647058822</v>
      </c>
      <c r="J94">
        <v>1</v>
      </c>
      <c r="K94">
        <f t="shared" si="12"/>
        <v>2</v>
      </c>
      <c r="L94" s="4">
        <v>0</v>
      </c>
      <c r="M94" s="4">
        <v>1</v>
      </c>
      <c r="N94" s="4">
        <v>1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t="s">
        <v>26</v>
      </c>
    </row>
    <row r="95" spans="1:32" x14ac:dyDescent="0.25">
      <c r="A95">
        <f t="shared" si="19"/>
        <v>94</v>
      </c>
      <c r="B95" t="s">
        <v>32</v>
      </c>
      <c r="C95" t="s">
        <v>57</v>
      </c>
      <c r="D95" t="s">
        <v>13</v>
      </c>
      <c r="E95" s="4">
        <v>17</v>
      </c>
      <c r="F95" s="4">
        <v>13</v>
      </c>
      <c r="G95" s="4">
        <v>4</v>
      </c>
      <c r="H95" s="4">
        <v>43</v>
      </c>
      <c r="I95" s="8">
        <f t="shared" si="20"/>
        <v>1.3076923076923077</v>
      </c>
      <c r="J95">
        <v>2</v>
      </c>
      <c r="K95">
        <f t="shared" si="12"/>
        <v>2</v>
      </c>
      <c r="L95" s="4">
        <v>0</v>
      </c>
      <c r="M95" s="4">
        <v>1</v>
      </c>
      <c r="N95" s="4">
        <v>1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</row>
    <row r="96" spans="1:32" x14ac:dyDescent="0.25">
      <c r="A96">
        <f t="shared" si="19"/>
        <v>95</v>
      </c>
      <c r="B96" t="s">
        <v>32</v>
      </c>
      <c r="C96" t="s">
        <v>29</v>
      </c>
      <c r="D96" t="s">
        <v>5</v>
      </c>
      <c r="E96" s="4">
        <v>35</v>
      </c>
      <c r="F96" s="4">
        <v>26</v>
      </c>
      <c r="G96" s="4">
        <v>6</v>
      </c>
      <c r="H96" s="4">
        <v>88</v>
      </c>
      <c r="I96" s="8">
        <f t="shared" si="20"/>
        <v>1.3461538461538463</v>
      </c>
      <c r="J96">
        <v>1</v>
      </c>
      <c r="K96">
        <f t="shared" si="12"/>
        <v>2</v>
      </c>
      <c r="L96" s="4">
        <v>0</v>
      </c>
      <c r="M96" s="4">
        <v>1</v>
      </c>
      <c r="N96" s="4">
        <v>1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t="s">
        <v>26</v>
      </c>
    </row>
    <row r="97" spans="1:32" x14ac:dyDescent="0.25">
      <c r="A97">
        <f t="shared" si="19"/>
        <v>96</v>
      </c>
      <c r="B97" t="s">
        <v>28</v>
      </c>
      <c r="C97" t="s">
        <v>16</v>
      </c>
      <c r="D97" t="s">
        <v>13</v>
      </c>
      <c r="E97" s="4">
        <v>20</v>
      </c>
      <c r="F97" s="4">
        <v>14</v>
      </c>
      <c r="G97" s="4">
        <v>4</v>
      </c>
      <c r="H97" s="4">
        <v>64</v>
      </c>
      <c r="I97" s="8">
        <f t="shared" si="20"/>
        <v>1.4285714285714286</v>
      </c>
      <c r="J97">
        <v>1</v>
      </c>
      <c r="K97">
        <f t="shared" si="12"/>
        <v>2</v>
      </c>
      <c r="L97" s="4">
        <v>0</v>
      </c>
      <c r="M97" s="4">
        <v>1</v>
      </c>
      <c r="N97" s="4">
        <v>1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</row>
    <row r="98" spans="1:32" x14ac:dyDescent="0.25">
      <c r="A98">
        <f t="shared" si="19"/>
        <v>97</v>
      </c>
      <c r="B98" t="s">
        <v>9</v>
      </c>
      <c r="C98" t="s">
        <v>46</v>
      </c>
      <c r="D98" t="s">
        <v>12</v>
      </c>
      <c r="E98" s="4">
        <v>13</v>
      </c>
      <c r="F98" s="4">
        <v>18</v>
      </c>
      <c r="G98" s="4">
        <v>5</v>
      </c>
      <c r="H98" s="4">
        <v>30</v>
      </c>
      <c r="I98" s="8">
        <f t="shared" si="20"/>
        <v>0.72222222222222221</v>
      </c>
      <c r="J98">
        <v>4</v>
      </c>
      <c r="K98">
        <f t="shared" ref="K98:K129" si="21">SUM(L98:AE98)</f>
        <v>2</v>
      </c>
      <c r="L98" s="4">
        <v>0</v>
      </c>
      <c r="M98" s="4">
        <v>1</v>
      </c>
      <c r="N98" s="4">
        <v>1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</row>
    <row r="99" spans="1:32" x14ac:dyDescent="0.25">
      <c r="A99">
        <f t="shared" si="19"/>
        <v>98</v>
      </c>
      <c r="B99" t="s">
        <v>11</v>
      </c>
      <c r="C99" t="s">
        <v>19</v>
      </c>
      <c r="D99" t="s">
        <v>13</v>
      </c>
      <c r="E99" s="4">
        <v>27</v>
      </c>
      <c r="F99" s="4">
        <v>19</v>
      </c>
      <c r="G99" s="4">
        <v>5</v>
      </c>
      <c r="H99" s="4">
        <v>64</v>
      </c>
      <c r="I99" s="8">
        <f t="shared" si="20"/>
        <v>1.4210526315789473</v>
      </c>
      <c r="J99">
        <v>1</v>
      </c>
      <c r="K99">
        <f t="shared" si="21"/>
        <v>1</v>
      </c>
      <c r="L99" s="4">
        <v>0</v>
      </c>
      <c r="M99" s="4">
        <v>1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</row>
    <row r="100" spans="1:32" x14ac:dyDescent="0.25">
      <c r="A100">
        <f t="shared" ref="A100:A105" si="22">ROW()-1</f>
        <v>99</v>
      </c>
      <c r="B100" t="s">
        <v>11</v>
      </c>
      <c r="C100" t="s">
        <v>31</v>
      </c>
      <c r="D100" t="s">
        <v>13</v>
      </c>
      <c r="E100" s="4">
        <v>18</v>
      </c>
      <c r="F100" s="4">
        <v>11</v>
      </c>
      <c r="G100" s="4">
        <v>5</v>
      </c>
      <c r="H100" s="4">
        <v>51</v>
      </c>
      <c r="I100" s="8">
        <f t="shared" ref="I100:I105" si="23">E100/F100</f>
        <v>1.6363636363636365</v>
      </c>
      <c r="J100">
        <v>1</v>
      </c>
      <c r="K100">
        <f t="shared" si="21"/>
        <v>2</v>
      </c>
      <c r="L100" s="4">
        <v>1</v>
      </c>
      <c r="M100" s="4">
        <v>1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</row>
    <row r="101" spans="1:32" x14ac:dyDescent="0.25">
      <c r="A101">
        <f t="shared" si="22"/>
        <v>100</v>
      </c>
      <c r="B101" t="s">
        <v>32</v>
      </c>
      <c r="C101" t="s">
        <v>63</v>
      </c>
      <c r="D101" t="s">
        <v>12</v>
      </c>
      <c r="E101" s="4">
        <v>14</v>
      </c>
      <c r="F101" s="4">
        <v>13</v>
      </c>
      <c r="G101" s="4">
        <v>3</v>
      </c>
      <c r="H101" s="4">
        <v>33</v>
      </c>
      <c r="I101" s="8">
        <f t="shared" si="23"/>
        <v>1.0769230769230769</v>
      </c>
      <c r="J101">
        <v>1</v>
      </c>
      <c r="K101">
        <f t="shared" si="21"/>
        <v>2</v>
      </c>
      <c r="L101" s="4">
        <v>1</v>
      </c>
      <c r="M101" s="4">
        <v>1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</row>
    <row r="102" spans="1:32" x14ac:dyDescent="0.25">
      <c r="A102">
        <f t="shared" si="22"/>
        <v>101</v>
      </c>
      <c r="B102" t="s">
        <v>28</v>
      </c>
      <c r="C102" t="s">
        <v>72</v>
      </c>
      <c r="D102" t="s">
        <v>13</v>
      </c>
      <c r="E102" s="4">
        <v>12</v>
      </c>
      <c r="F102" s="4">
        <v>6</v>
      </c>
      <c r="G102" s="4">
        <v>1</v>
      </c>
      <c r="H102" s="4">
        <v>25</v>
      </c>
      <c r="I102" s="8">
        <f t="shared" si="23"/>
        <v>2</v>
      </c>
      <c r="J102">
        <v>2</v>
      </c>
      <c r="K102">
        <f t="shared" si="21"/>
        <v>1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t="s">
        <v>73</v>
      </c>
    </row>
    <row r="103" spans="1:32" x14ac:dyDescent="0.25">
      <c r="A103">
        <f t="shared" si="22"/>
        <v>102</v>
      </c>
      <c r="B103" t="s">
        <v>14</v>
      </c>
      <c r="C103" t="s">
        <v>74</v>
      </c>
      <c r="D103" t="s">
        <v>13</v>
      </c>
      <c r="E103" s="4">
        <v>24</v>
      </c>
      <c r="F103" s="4">
        <v>15</v>
      </c>
      <c r="G103" s="4">
        <v>2</v>
      </c>
      <c r="H103" s="4">
        <v>66</v>
      </c>
      <c r="I103" s="8">
        <f t="shared" si="23"/>
        <v>1.6</v>
      </c>
      <c r="J103">
        <v>1</v>
      </c>
      <c r="K103">
        <f t="shared" si="21"/>
        <v>3</v>
      </c>
      <c r="L103" s="4">
        <v>1</v>
      </c>
      <c r="M103" s="4">
        <v>1</v>
      </c>
      <c r="N103" s="4">
        <v>1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</row>
    <row r="104" spans="1:32" x14ac:dyDescent="0.25">
      <c r="A104">
        <f t="shared" si="22"/>
        <v>103</v>
      </c>
      <c r="B104" t="s">
        <v>32</v>
      </c>
      <c r="C104" t="s">
        <v>30</v>
      </c>
      <c r="D104" t="s">
        <v>13</v>
      </c>
      <c r="E104" s="4">
        <v>14</v>
      </c>
      <c r="F104" s="4">
        <v>14</v>
      </c>
      <c r="G104" s="4">
        <v>6</v>
      </c>
      <c r="H104" s="4">
        <v>35</v>
      </c>
      <c r="I104" s="8">
        <f t="shared" si="23"/>
        <v>1</v>
      </c>
      <c r="J104">
        <v>2</v>
      </c>
      <c r="K104">
        <f t="shared" si="21"/>
        <v>3</v>
      </c>
      <c r="L104" s="4">
        <v>1</v>
      </c>
      <c r="M104" s="4">
        <v>1</v>
      </c>
      <c r="N104" s="4">
        <v>1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</row>
    <row r="105" spans="1:32" x14ac:dyDescent="0.25">
      <c r="A105">
        <f t="shared" si="22"/>
        <v>104</v>
      </c>
      <c r="B105" t="s">
        <v>48</v>
      </c>
      <c r="C105" t="s">
        <v>17</v>
      </c>
      <c r="D105" t="s">
        <v>12</v>
      </c>
      <c r="E105" s="4">
        <v>21</v>
      </c>
      <c r="F105" s="4">
        <v>17</v>
      </c>
      <c r="G105" s="4">
        <v>3</v>
      </c>
      <c r="H105" s="4">
        <v>51</v>
      </c>
      <c r="I105" s="8">
        <f t="shared" si="23"/>
        <v>1.2352941176470589</v>
      </c>
      <c r="J105">
        <v>2</v>
      </c>
      <c r="K105">
        <f t="shared" si="21"/>
        <v>3</v>
      </c>
      <c r="L105" s="4">
        <v>1</v>
      </c>
      <c r="M105" s="4">
        <v>1</v>
      </c>
      <c r="N105" s="4">
        <v>1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</row>
    <row r="106" spans="1:32" x14ac:dyDescent="0.25">
      <c r="A106">
        <f t="shared" ref="A106:A112" si="24">ROW()-1</f>
        <v>105</v>
      </c>
      <c r="B106" t="s">
        <v>14</v>
      </c>
      <c r="C106" t="s">
        <v>33</v>
      </c>
      <c r="D106" t="s">
        <v>12</v>
      </c>
      <c r="E106" s="4">
        <v>20</v>
      </c>
      <c r="F106" s="4">
        <v>18</v>
      </c>
      <c r="G106" s="4">
        <v>7</v>
      </c>
      <c r="H106" s="4">
        <v>51</v>
      </c>
      <c r="I106" s="8">
        <f t="shared" ref="I106:I112" si="25">E106/F106</f>
        <v>1.1111111111111112</v>
      </c>
      <c r="J106">
        <v>1</v>
      </c>
      <c r="K106">
        <f t="shared" si="21"/>
        <v>3</v>
      </c>
      <c r="L106" s="4">
        <v>1</v>
      </c>
      <c r="M106" s="4">
        <v>0</v>
      </c>
      <c r="N106" s="4">
        <v>1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</row>
    <row r="107" spans="1:32" x14ac:dyDescent="0.25">
      <c r="A107">
        <f t="shared" si="24"/>
        <v>106</v>
      </c>
      <c r="B107" t="s">
        <v>10</v>
      </c>
      <c r="C107" t="s">
        <v>15</v>
      </c>
      <c r="D107" t="s">
        <v>12</v>
      </c>
      <c r="E107" s="4">
        <v>16</v>
      </c>
      <c r="F107" s="4">
        <v>25</v>
      </c>
      <c r="G107" s="4">
        <v>8</v>
      </c>
      <c r="H107" s="4">
        <v>41</v>
      </c>
      <c r="I107" s="8">
        <f t="shared" si="25"/>
        <v>0.64</v>
      </c>
      <c r="J107">
        <v>4</v>
      </c>
      <c r="K107">
        <f t="shared" si="21"/>
        <v>4</v>
      </c>
      <c r="L107" s="4">
        <v>1</v>
      </c>
      <c r="M107" s="4">
        <v>1</v>
      </c>
      <c r="N107" s="4">
        <v>1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</row>
    <row r="108" spans="1:32" x14ac:dyDescent="0.25">
      <c r="A108">
        <f t="shared" si="24"/>
        <v>107</v>
      </c>
      <c r="B108" t="s">
        <v>14</v>
      </c>
      <c r="C108" t="s">
        <v>29</v>
      </c>
      <c r="D108" t="s">
        <v>5</v>
      </c>
      <c r="E108" s="4">
        <v>25</v>
      </c>
      <c r="F108" s="4">
        <v>19</v>
      </c>
      <c r="G108" s="4">
        <v>2</v>
      </c>
      <c r="H108" s="4">
        <v>62</v>
      </c>
      <c r="I108" s="8">
        <f t="shared" si="25"/>
        <v>1.3157894736842106</v>
      </c>
      <c r="J108">
        <v>1</v>
      </c>
      <c r="K108">
        <f t="shared" si="21"/>
        <v>4</v>
      </c>
      <c r="L108" s="4">
        <v>1</v>
      </c>
      <c r="M108" s="4">
        <v>1</v>
      </c>
      <c r="N108" s="4">
        <v>1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</row>
    <row r="109" spans="1:32" x14ac:dyDescent="0.25">
      <c r="A109">
        <f t="shared" si="24"/>
        <v>108</v>
      </c>
      <c r="B109" t="s">
        <v>10</v>
      </c>
      <c r="C109" t="s">
        <v>64</v>
      </c>
      <c r="D109" t="s">
        <v>12</v>
      </c>
      <c r="E109" s="4">
        <v>18</v>
      </c>
      <c r="F109" s="4">
        <v>16</v>
      </c>
      <c r="G109" s="4">
        <v>2</v>
      </c>
      <c r="H109" s="4">
        <v>39</v>
      </c>
      <c r="I109" s="8">
        <f t="shared" si="25"/>
        <v>1.125</v>
      </c>
      <c r="J109">
        <v>3</v>
      </c>
      <c r="K109">
        <f t="shared" si="21"/>
        <v>4</v>
      </c>
      <c r="L109" s="4">
        <v>1</v>
      </c>
      <c r="M109" s="4">
        <v>1</v>
      </c>
      <c r="N109" s="4">
        <v>1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</row>
    <row r="110" spans="1:32" x14ac:dyDescent="0.25">
      <c r="A110">
        <f t="shared" si="24"/>
        <v>109</v>
      </c>
      <c r="B110" t="s">
        <v>32</v>
      </c>
      <c r="C110" t="s">
        <v>20</v>
      </c>
      <c r="D110" t="s">
        <v>13</v>
      </c>
      <c r="E110" s="4">
        <v>19</v>
      </c>
      <c r="F110" s="4">
        <v>13</v>
      </c>
      <c r="G110" s="4">
        <v>3</v>
      </c>
      <c r="H110" s="4">
        <v>52</v>
      </c>
      <c r="I110" s="8">
        <f t="shared" si="25"/>
        <v>1.4615384615384615</v>
      </c>
      <c r="J110">
        <v>2</v>
      </c>
      <c r="K110">
        <f t="shared" si="21"/>
        <v>3</v>
      </c>
      <c r="L110" s="4">
        <v>0</v>
      </c>
      <c r="M110" s="4">
        <v>1</v>
      </c>
      <c r="N110" s="4">
        <v>1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</row>
    <row r="111" spans="1:32" x14ac:dyDescent="0.25">
      <c r="A111">
        <f t="shared" si="24"/>
        <v>110</v>
      </c>
      <c r="B111" t="s">
        <v>14</v>
      </c>
      <c r="C111" t="s">
        <v>33</v>
      </c>
      <c r="D111" t="s">
        <v>12</v>
      </c>
      <c r="E111" s="4">
        <v>19</v>
      </c>
      <c r="F111" s="4">
        <v>18</v>
      </c>
      <c r="G111" s="4">
        <v>8</v>
      </c>
      <c r="H111" s="4">
        <v>37</v>
      </c>
      <c r="I111" s="8">
        <f t="shared" si="25"/>
        <v>1.0555555555555556</v>
      </c>
      <c r="J111">
        <v>3</v>
      </c>
      <c r="K111">
        <f t="shared" si="21"/>
        <v>3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1</v>
      </c>
      <c r="AA111" s="4">
        <v>1</v>
      </c>
      <c r="AB111" s="4">
        <v>0</v>
      </c>
      <c r="AC111" s="4">
        <v>0</v>
      </c>
      <c r="AD111" s="4">
        <v>0</v>
      </c>
      <c r="AE111" s="4">
        <v>0</v>
      </c>
    </row>
    <row r="112" spans="1:32" x14ac:dyDescent="0.25">
      <c r="A112">
        <f t="shared" si="24"/>
        <v>111</v>
      </c>
      <c r="B112" t="s">
        <v>10</v>
      </c>
      <c r="C112" t="s">
        <v>21</v>
      </c>
      <c r="D112" t="s">
        <v>13</v>
      </c>
      <c r="E112" s="4">
        <v>8</v>
      </c>
      <c r="F112" s="4">
        <v>13</v>
      </c>
      <c r="G112" s="4">
        <v>2</v>
      </c>
      <c r="H112" s="4">
        <v>19</v>
      </c>
      <c r="I112" s="8">
        <f t="shared" si="25"/>
        <v>0.61538461538461542</v>
      </c>
      <c r="J112">
        <v>5</v>
      </c>
      <c r="K112">
        <f t="shared" si="21"/>
        <v>3</v>
      </c>
      <c r="L112" s="4">
        <v>1</v>
      </c>
      <c r="M112" s="4">
        <v>1</v>
      </c>
      <c r="N112" s="4">
        <v>0</v>
      </c>
      <c r="O112" s="4">
        <v>0</v>
      </c>
      <c r="P112" s="4">
        <v>1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</row>
    <row r="113" spans="1:31" x14ac:dyDescent="0.25">
      <c r="A113">
        <f t="shared" ref="A113:A120" si="26">ROW()-1</f>
        <v>112</v>
      </c>
      <c r="B113" t="s">
        <v>28</v>
      </c>
      <c r="C113" t="s">
        <v>74</v>
      </c>
      <c r="D113" t="s">
        <v>13</v>
      </c>
      <c r="E113" s="4">
        <v>22</v>
      </c>
      <c r="F113" s="4">
        <v>24</v>
      </c>
      <c r="G113" s="4">
        <v>4</v>
      </c>
      <c r="H113" s="4">
        <v>61</v>
      </c>
      <c r="I113" s="8">
        <f t="shared" ref="I113:I120" si="27">E113/F113</f>
        <v>0.91666666666666663</v>
      </c>
      <c r="J113">
        <v>1</v>
      </c>
      <c r="K113">
        <f t="shared" si="21"/>
        <v>3</v>
      </c>
      <c r="L113" s="4">
        <v>0</v>
      </c>
      <c r="M113" s="4">
        <v>1</v>
      </c>
      <c r="N113" s="4">
        <v>1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</v>
      </c>
      <c r="AC113" s="4">
        <v>0</v>
      </c>
      <c r="AD113" s="4">
        <v>0</v>
      </c>
      <c r="AE113" s="4">
        <v>0</v>
      </c>
    </row>
    <row r="114" spans="1:31" x14ac:dyDescent="0.25">
      <c r="A114">
        <f t="shared" si="26"/>
        <v>113</v>
      </c>
      <c r="B114" t="s">
        <v>14</v>
      </c>
      <c r="C114" t="s">
        <v>78</v>
      </c>
      <c r="D114" t="s">
        <v>12</v>
      </c>
      <c r="E114" s="4">
        <v>8</v>
      </c>
      <c r="F114" s="4">
        <v>14</v>
      </c>
      <c r="G114" s="4">
        <v>3</v>
      </c>
      <c r="H114" s="4">
        <v>21</v>
      </c>
      <c r="I114" s="8">
        <f t="shared" si="27"/>
        <v>0.5714285714285714</v>
      </c>
      <c r="J114">
        <v>2</v>
      </c>
      <c r="K114">
        <f t="shared" si="21"/>
        <v>3</v>
      </c>
      <c r="L114" s="4">
        <v>0</v>
      </c>
      <c r="M114" s="4">
        <v>1</v>
      </c>
      <c r="N114" s="4">
        <v>1</v>
      </c>
      <c r="O114" s="4">
        <v>1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</row>
    <row r="115" spans="1:31" x14ac:dyDescent="0.25">
      <c r="A115">
        <f t="shared" si="26"/>
        <v>114</v>
      </c>
      <c r="B115" t="s">
        <v>10</v>
      </c>
      <c r="C115" t="s">
        <v>47</v>
      </c>
      <c r="D115" t="s">
        <v>12</v>
      </c>
      <c r="E115" s="4">
        <v>5</v>
      </c>
      <c r="F115" s="4">
        <v>14</v>
      </c>
      <c r="G115" s="4">
        <v>1</v>
      </c>
      <c r="H115" s="4">
        <v>11</v>
      </c>
      <c r="I115" s="8">
        <f t="shared" si="27"/>
        <v>0.35714285714285715</v>
      </c>
      <c r="J115">
        <v>5</v>
      </c>
      <c r="K115">
        <f t="shared" si="21"/>
        <v>3</v>
      </c>
      <c r="L115" s="4">
        <v>0</v>
      </c>
      <c r="M115" s="4">
        <v>1</v>
      </c>
      <c r="N115" s="4">
        <v>1</v>
      </c>
      <c r="O115" s="4">
        <v>1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</row>
    <row r="116" spans="1:31" x14ac:dyDescent="0.25">
      <c r="A116">
        <f t="shared" si="26"/>
        <v>115</v>
      </c>
      <c r="B116" t="s">
        <v>11</v>
      </c>
      <c r="C116" t="s">
        <v>20</v>
      </c>
      <c r="D116" t="s">
        <v>13</v>
      </c>
      <c r="E116" s="4">
        <v>18</v>
      </c>
      <c r="F116" s="4">
        <v>13</v>
      </c>
      <c r="G116" s="4">
        <v>5</v>
      </c>
      <c r="H116" s="4">
        <v>46</v>
      </c>
      <c r="I116" s="8">
        <f t="shared" si="27"/>
        <v>1.3846153846153846</v>
      </c>
      <c r="J116">
        <v>2</v>
      </c>
      <c r="K116">
        <f t="shared" si="21"/>
        <v>4</v>
      </c>
      <c r="L116" s="4">
        <v>0</v>
      </c>
      <c r="M116" s="4">
        <v>1</v>
      </c>
      <c r="N116" s="4">
        <v>1</v>
      </c>
      <c r="O116" s="4">
        <v>1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</v>
      </c>
      <c r="AC116" s="4">
        <v>0</v>
      </c>
      <c r="AD116" s="4">
        <v>0</v>
      </c>
      <c r="AE116" s="4">
        <v>0</v>
      </c>
    </row>
    <row r="117" spans="1:31" x14ac:dyDescent="0.25">
      <c r="A117">
        <f t="shared" si="26"/>
        <v>116</v>
      </c>
      <c r="B117" t="s">
        <v>32</v>
      </c>
      <c r="C117" t="s">
        <v>33</v>
      </c>
      <c r="D117" t="s">
        <v>12</v>
      </c>
      <c r="E117" s="4">
        <v>16</v>
      </c>
      <c r="F117" s="4">
        <v>17</v>
      </c>
      <c r="G117" s="4">
        <v>3</v>
      </c>
      <c r="H117" s="4">
        <v>39</v>
      </c>
      <c r="I117" s="8">
        <f t="shared" si="27"/>
        <v>0.94117647058823528</v>
      </c>
      <c r="J117">
        <v>3</v>
      </c>
      <c r="K117">
        <f t="shared" si="21"/>
        <v>4</v>
      </c>
      <c r="L117" s="4">
        <v>0</v>
      </c>
      <c r="M117" s="4">
        <v>1</v>
      </c>
      <c r="N117" s="4">
        <v>1</v>
      </c>
      <c r="O117" s="4">
        <v>1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</v>
      </c>
      <c r="AC117" s="4">
        <v>0</v>
      </c>
      <c r="AD117" s="4">
        <v>0</v>
      </c>
      <c r="AE117" s="4">
        <v>0</v>
      </c>
    </row>
    <row r="118" spans="1:31" x14ac:dyDescent="0.25">
      <c r="A118">
        <f t="shared" si="26"/>
        <v>117</v>
      </c>
      <c r="B118" t="s">
        <v>10</v>
      </c>
      <c r="C118" t="s">
        <v>66</v>
      </c>
      <c r="D118" t="s">
        <v>13</v>
      </c>
      <c r="E118" s="4">
        <v>13</v>
      </c>
      <c r="F118" s="4">
        <v>11</v>
      </c>
      <c r="G118" s="4">
        <v>3</v>
      </c>
      <c r="H118" s="4">
        <v>31</v>
      </c>
      <c r="I118" s="8">
        <f t="shared" si="27"/>
        <v>1.1818181818181819</v>
      </c>
      <c r="J118">
        <v>3</v>
      </c>
      <c r="K118">
        <f t="shared" si="21"/>
        <v>4</v>
      </c>
      <c r="L118" s="4">
        <v>0</v>
      </c>
      <c r="M118" s="4">
        <v>1</v>
      </c>
      <c r="N118" s="4">
        <v>1</v>
      </c>
      <c r="O118" s="4">
        <v>1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1</v>
      </c>
      <c r="AC118" s="4">
        <v>0</v>
      </c>
      <c r="AD118" s="4">
        <v>0</v>
      </c>
      <c r="AE118" s="4">
        <v>0</v>
      </c>
    </row>
    <row r="119" spans="1:31" x14ac:dyDescent="0.25">
      <c r="A119">
        <f t="shared" si="26"/>
        <v>118</v>
      </c>
      <c r="B119" t="s">
        <v>14</v>
      </c>
      <c r="C119" t="s">
        <v>15</v>
      </c>
      <c r="D119" t="s">
        <v>12</v>
      </c>
      <c r="E119" s="4">
        <v>16</v>
      </c>
      <c r="F119" s="4">
        <v>21</v>
      </c>
      <c r="G119" s="4">
        <v>6</v>
      </c>
      <c r="H119" s="4">
        <v>45</v>
      </c>
      <c r="I119" s="8">
        <f t="shared" si="27"/>
        <v>0.76190476190476186</v>
      </c>
      <c r="J119">
        <v>5</v>
      </c>
      <c r="K119">
        <f t="shared" si="21"/>
        <v>4</v>
      </c>
      <c r="L119" s="4">
        <v>0</v>
      </c>
      <c r="M119" s="4">
        <v>1</v>
      </c>
      <c r="N119" s="4">
        <v>1</v>
      </c>
      <c r="O119" s="4">
        <v>1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</v>
      </c>
      <c r="AC119" s="4">
        <v>0</v>
      </c>
      <c r="AD119" s="4">
        <v>0</v>
      </c>
      <c r="AE119" s="4">
        <v>0</v>
      </c>
    </row>
    <row r="120" spans="1:31" x14ac:dyDescent="0.25">
      <c r="A120">
        <f t="shared" si="26"/>
        <v>119</v>
      </c>
      <c r="B120" t="s">
        <v>32</v>
      </c>
      <c r="C120" t="s">
        <v>17</v>
      </c>
      <c r="D120" t="s">
        <v>12</v>
      </c>
      <c r="E120" s="4">
        <v>10</v>
      </c>
      <c r="F120" s="4">
        <v>16</v>
      </c>
      <c r="G120" s="4">
        <v>5</v>
      </c>
      <c r="H120" s="4">
        <v>27</v>
      </c>
      <c r="I120" s="8">
        <f t="shared" si="27"/>
        <v>0.625</v>
      </c>
      <c r="J120">
        <v>5</v>
      </c>
      <c r="K120">
        <f t="shared" si="21"/>
        <v>2</v>
      </c>
      <c r="L120" s="4">
        <v>0</v>
      </c>
      <c r="M120" s="4">
        <v>1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</v>
      </c>
      <c r="AC120" s="4">
        <v>0</v>
      </c>
      <c r="AD120" s="4">
        <v>0</v>
      </c>
      <c r="AE120" s="4">
        <v>0</v>
      </c>
    </row>
    <row r="121" spans="1:31" x14ac:dyDescent="0.25">
      <c r="A121">
        <f t="shared" ref="A121:A128" si="28">ROW()-1</f>
        <v>120</v>
      </c>
      <c r="B121" t="s">
        <v>14</v>
      </c>
      <c r="C121" t="s">
        <v>64</v>
      </c>
      <c r="D121" t="s">
        <v>12</v>
      </c>
      <c r="E121" s="4">
        <v>11</v>
      </c>
      <c r="F121" s="4">
        <v>18</v>
      </c>
      <c r="G121" s="4">
        <v>6</v>
      </c>
      <c r="H121" s="4">
        <v>32</v>
      </c>
      <c r="I121" s="8">
        <f t="shared" ref="I121:I128" si="29">E121/F121</f>
        <v>0.61111111111111116</v>
      </c>
      <c r="J121">
        <v>3</v>
      </c>
      <c r="K121">
        <f t="shared" si="21"/>
        <v>2</v>
      </c>
      <c r="L121" s="4">
        <v>0</v>
      </c>
      <c r="M121" s="4">
        <v>0</v>
      </c>
      <c r="N121" s="4">
        <v>0</v>
      </c>
      <c r="O121" s="4">
        <v>0</v>
      </c>
      <c r="P121" s="4">
        <v>1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</row>
    <row r="122" spans="1:31" x14ac:dyDescent="0.25">
      <c r="A122">
        <f t="shared" si="28"/>
        <v>121</v>
      </c>
      <c r="B122" t="s">
        <v>14</v>
      </c>
      <c r="C122" t="s">
        <v>44</v>
      </c>
      <c r="D122" t="s">
        <v>13</v>
      </c>
      <c r="E122" s="4">
        <v>14</v>
      </c>
      <c r="F122" s="4">
        <v>4</v>
      </c>
      <c r="G122" s="4">
        <v>2</v>
      </c>
      <c r="H122" s="4">
        <v>31</v>
      </c>
      <c r="I122" s="8">
        <f t="shared" si="29"/>
        <v>3.5</v>
      </c>
      <c r="J122">
        <v>3</v>
      </c>
      <c r="K122">
        <f t="shared" si="21"/>
        <v>1</v>
      </c>
      <c r="L122" s="4">
        <v>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</row>
    <row r="123" spans="1:31" x14ac:dyDescent="0.25">
      <c r="A123">
        <f t="shared" si="28"/>
        <v>122</v>
      </c>
      <c r="B123" t="s">
        <v>11</v>
      </c>
      <c r="C123" t="s">
        <v>27</v>
      </c>
      <c r="D123" t="s">
        <v>12</v>
      </c>
      <c r="E123" s="4">
        <v>17</v>
      </c>
      <c r="F123" s="4">
        <v>18</v>
      </c>
      <c r="G123" s="4">
        <v>6</v>
      </c>
      <c r="H123" s="4">
        <v>46</v>
      </c>
      <c r="I123" s="8">
        <f t="shared" si="29"/>
        <v>0.94444444444444442</v>
      </c>
      <c r="J123">
        <v>1</v>
      </c>
      <c r="K123">
        <f t="shared" si="21"/>
        <v>1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</row>
    <row r="124" spans="1:31" x14ac:dyDescent="0.25">
      <c r="A124">
        <f t="shared" si="28"/>
        <v>123</v>
      </c>
      <c r="B124" t="s">
        <v>10</v>
      </c>
      <c r="C124" t="s">
        <v>19</v>
      </c>
      <c r="D124" t="s">
        <v>13</v>
      </c>
      <c r="E124" s="4">
        <v>24</v>
      </c>
      <c r="F124" s="4">
        <v>18</v>
      </c>
      <c r="G124" s="4">
        <v>9</v>
      </c>
      <c r="H124" s="4">
        <v>61</v>
      </c>
      <c r="I124" s="8">
        <f t="shared" si="29"/>
        <v>1.3333333333333333</v>
      </c>
      <c r="J124">
        <v>1</v>
      </c>
      <c r="K124">
        <f t="shared" si="21"/>
        <v>2</v>
      </c>
      <c r="L124" s="4">
        <v>1</v>
      </c>
      <c r="M124" s="4">
        <v>1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</row>
    <row r="125" spans="1:31" x14ac:dyDescent="0.25">
      <c r="A125">
        <f t="shared" si="28"/>
        <v>124</v>
      </c>
      <c r="B125" t="s">
        <v>32</v>
      </c>
      <c r="C125" t="s">
        <v>23</v>
      </c>
      <c r="D125" t="s">
        <v>12</v>
      </c>
      <c r="E125" s="4">
        <v>15</v>
      </c>
      <c r="F125" s="4">
        <v>17</v>
      </c>
      <c r="G125" s="4">
        <v>7</v>
      </c>
      <c r="H125" s="4">
        <v>39</v>
      </c>
      <c r="I125" s="8">
        <f t="shared" si="29"/>
        <v>0.88235294117647056</v>
      </c>
      <c r="J125">
        <v>2</v>
      </c>
      <c r="K125">
        <f t="shared" si="21"/>
        <v>2</v>
      </c>
      <c r="L125" s="4">
        <v>1</v>
      </c>
      <c r="M125" s="4">
        <v>1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</row>
    <row r="126" spans="1:31" x14ac:dyDescent="0.25">
      <c r="A126">
        <f t="shared" si="28"/>
        <v>125</v>
      </c>
      <c r="B126" t="s">
        <v>14</v>
      </c>
      <c r="C126" t="s">
        <v>46</v>
      </c>
      <c r="D126" t="s">
        <v>12</v>
      </c>
      <c r="E126" s="4">
        <v>13</v>
      </c>
      <c r="F126" s="4">
        <v>16</v>
      </c>
      <c r="G126" s="4">
        <v>4</v>
      </c>
      <c r="H126" s="4">
        <v>31</v>
      </c>
      <c r="I126" s="8">
        <f t="shared" si="29"/>
        <v>0.8125</v>
      </c>
      <c r="J126">
        <v>2</v>
      </c>
      <c r="K126">
        <f t="shared" si="21"/>
        <v>3</v>
      </c>
      <c r="L126" s="4">
        <v>1</v>
      </c>
      <c r="M126" s="4">
        <v>1</v>
      </c>
      <c r="N126" s="4">
        <v>0</v>
      </c>
      <c r="O126" s="4">
        <v>0</v>
      </c>
      <c r="P126" s="4">
        <v>1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</row>
    <row r="127" spans="1:31" x14ac:dyDescent="0.25">
      <c r="A127">
        <f t="shared" si="28"/>
        <v>126</v>
      </c>
      <c r="B127" t="s">
        <v>48</v>
      </c>
      <c r="C127" t="s">
        <v>46</v>
      </c>
      <c r="D127" t="s">
        <v>12</v>
      </c>
      <c r="E127" s="4">
        <v>14</v>
      </c>
      <c r="F127" s="4">
        <v>16</v>
      </c>
      <c r="G127" s="4">
        <v>2</v>
      </c>
      <c r="H127" s="4">
        <v>32</v>
      </c>
      <c r="I127" s="8">
        <f t="shared" si="29"/>
        <v>0.875</v>
      </c>
      <c r="J127">
        <v>2</v>
      </c>
      <c r="K127">
        <f t="shared" si="21"/>
        <v>3</v>
      </c>
      <c r="L127" s="4">
        <v>1</v>
      </c>
      <c r="M127" s="4">
        <v>1</v>
      </c>
      <c r="N127" s="4">
        <v>0</v>
      </c>
      <c r="O127" s="4">
        <v>0</v>
      </c>
      <c r="P127" s="4">
        <v>1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</row>
    <row r="128" spans="1:31" x14ac:dyDescent="0.25">
      <c r="A128">
        <f t="shared" si="28"/>
        <v>127</v>
      </c>
      <c r="B128" t="s">
        <v>9</v>
      </c>
      <c r="C128" t="s">
        <v>20</v>
      </c>
      <c r="D128" t="s">
        <v>13</v>
      </c>
      <c r="E128" s="4">
        <v>19</v>
      </c>
      <c r="F128" s="4">
        <v>16</v>
      </c>
      <c r="G128" s="4">
        <v>2</v>
      </c>
      <c r="H128" s="4">
        <v>44</v>
      </c>
      <c r="I128" s="8">
        <f t="shared" si="29"/>
        <v>1.1875</v>
      </c>
      <c r="J128">
        <v>3</v>
      </c>
      <c r="K128">
        <f t="shared" si="21"/>
        <v>3</v>
      </c>
      <c r="L128" s="4">
        <v>1</v>
      </c>
      <c r="M128" s="4">
        <v>1</v>
      </c>
      <c r="N128" s="4">
        <v>0</v>
      </c>
      <c r="O128" s="4">
        <v>0</v>
      </c>
      <c r="P128" s="4">
        <v>1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</row>
    <row r="129" spans="1:31" x14ac:dyDescent="0.25">
      <c r="A129">
        <f t="shared" ref="A129:A134" si="30">ROW()-1</f>
        <v>128</v>
      </c>
      <c r="B129" t="s">
        <v>11</v>
      </c>
      <c r="C129" t="s">
        <v>16</v>
      </c>
      <c r="D129" t="s">
        <v>13</v>
      </c>
      <c r="E129" s="4">
        <v>18</v>
      </c>
      <c r="F129" s="4">
        <v>12</v>
      </c>
      <c r="G129" s="4">
        <v>6</v>
      </c>
      <c r="H129" s="4">
        <v>45</v>
      </c>
      <c r="I129" s="8">
        <f t="shared" ref="I129:I134" si="31">E129/F129</f>
        <v>1.5</v>
      </c>
      <c r="J129">
        <v>2</v>
      </c>
      <c r="K129">
        <f t="shared" si="21"/>
        <v>1</v>
      </c>
      <c r="L129" s="4">
        <v>0</v>
      </c>
      <c r="M129" s="4">
        <v>1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</row>
    <row r="130" spans="1:31" x14ac:dyDescent="0.25">
      <c r="A130">
        <f t="shared" si="30"/>
        <v>129</v>
      </c>
      <c r="B130" t="s">
        <v>9</v>
      </c>
      <c r="C130" t="s">
        <v>27</v>
      </c>
      <c r="D130" t="s">
        <v>12</v>
      </c>
      <c r="E130" s="4">
        <v>19</v>
      </c>
      <c r="F130" s="4">
        <v>18</v>
      </c>
      <c r="G130" s="4">
        <v>4</v>
      </c>
      <c r="H130" s="4">
        <v>52</v>
      </c>
      <c r="I130" s="8">
        <f t="shared" si="31"/>
        <v>1.0555555555555556</v>
      </c>
      <c r="J130">
        <v>2</v>
      </c>
      <c r="K130">
        <f t="shared" ref="K130:K161" si="32">SUM(L130:AE130)</f>
        <v>1</v>
      </c>
      <c r="L130" s="4">
        <v>0</v>
      </c>
      <c r="M130" s="4">
        <v>1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</row>
    <row r="131" spans="1:31" x14ac:dyDescent="0.25">
      <c r="A131">
        <f t="shared" si="30"/>
        <v>130</v>
      </c>
      <c r="B131" t="s">
        <v>32</v>
      </c>
      <c r="C131" t="s">
        <v>16</v>
      </c>
      <c r="D131" t="s">
        <v>13</v>
      </c>
      <c r="E131" s="4">
        <v>19</v>
      </c>
      <c r="F131" s="4">
        <v>14</v>
      </c>
      <c r="G131" s="4">
        <v>4</v>
      </c>
      <c r="H131" s="4">
        <v>48</v>
      </c>
      <c r="I131" s="8">
        <f t="shared" si="31"/>
        <v>1.3571428571428572</v>
      </c>
      <c r="J131">
        <v>2</v>
      </c>
      <c r="K131">
        <f t="shared" si="32"/>
        <v>3</v>
      </c>
      <c r="L131" s="4">
        <v>0</v>
      </c>
      <c r="M131" s="4">
        <v>1</v>
      </c>
      <c r="N131" s="4">
        <v>0</v>
      </c>
      <c r="O131" s="4">
        <v>1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</v>
      </c>
      <c r="AC131" s="4">
        <v>0</v>
      </c>
      <c r="AD131" s="4">
        <v>0</v>
      </c>
      <c r="AE131" s="4">
        <v>0</v>
      </c>
    </row>
    <row r="132" spans="1:31" x14ac:dyDescent="0.25">
      <c r="A132">
        <f t="shared" si="30"/>
        <v>131</v>
      </c>
      <c r="B132" t="s">
        <v>11</v>
      </c>
      <c r="C132" t="s">
        <v>33</v>
      </c>
      <c r="D132" t="s">
        <v>12</v>
      </c>
      <c r="E132" s="4">
        <v>12</v>
      </c>
      <c r="F132" s="4">
        <v>14</v>
      </c>
      <c r="G132" s="4">
        <v>5</v>
      </c>
      <c r="H132" s="4">
        <v>34</v>
      </c>
      <c r="I132" s="8">
        <f t="shared" si="31"/>
        <v>0.8571428571428571</v>
      </c>
      <c r="J132">
        <v>4</v>
      </c>
      <c r="K132">
        <f t="shared" si="32"/>
        <v>3</v>
      </c>
      <c r="L132" s="4">
        <v>0</v>
      </c>
      <c r="M132" s="4">
        <v>1</v>
      </c>
      <c r="N132" s="4">
        <v>0</v>
      </c>
      <c r="O132" s="4">
        <v>1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</v>
      </c>
      <c r="AC132" s="4">
        <v>0</v>
      </c>
      <c r="AD132" s="4">
        <v>0</v>
      </c>
      <c r="AE132" s="4">
        <v>0</v>
      </c>
    </row>
    <row r="133" spans="1:31" x14ac:dyDescent="0.25">
      <c r="A133">
        <f t="shared" si="30"/>
        <v>132</v>
      </c>
      <c r="B133" t="s">
        <v>14</v>
      </c>
      <c r="C133" t="s">
        <v>19</v>
      </c>
      <c r="D133" t="s">
        <v>13</v>
      </c>
      <c r="E133" s="4">
        <v>22</v>
      </c>
      <c r="F133" s="4">
        <v>16</v>
      </c>
      <c r="G133" s="4">
        <v>3</v>
      </c>
      <c r="H133" s="4">
        <v>56</v>
      </c>
      <c r="I133" s="8">
        <f t="shared" si="31"/>
        <v>1.375</v>
      </c>
      <c r="J133">
        <v>2</v>
      </c>
      <c r="K133">
        <f t="shared" si="32"/>
        <v>3</v>
      </c>
      <c r="L133" s="4">
        <v>0</v>
      </c>
      <c r="M133" s="4">
        <v>1</v>
      </c>
      <c r="N133" s="4">
        <v>0</v>
      </c>
      <c r="O133" s="4">
        <v>1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</v>
      </c>
      <c r="AC133" s="4">
        <v>0</v>
      </c>
      <c r="AD133" s="4">
        <v>0</v>
      </c>
      <c r="AE133" s="4">
        <v>0</v>
      </c>
    </row>
    <row r="134" spans="1:31" x14ac:dyDescent="0.25">
      <c r="A134">
        <f t="shared" si="30"/>
        <v>133</v>
      </c>
      <c r="B134" t="s">
        <v>9</v>
      </c>
      <c r="C134" t="s">
        <v>30</v>
      </c>
      <c r="D134" t="s">
        <v>13</v>
      </c>
      <c r="E134" s="4">
        <v>16</v>
      </c>
      <c r="F134" s="4">
        <v>14</v>
      </c>
      <c r="G134" s="4">
        <v>7</v>
      </c>
      <c r="H134" s="4">
        <v>43</v>
      </c>
      <c r="I134" s="8">
        <f t="shared" si="31"/>
        <v>1.1428571428571428</v>
      </c>
      <c r="J134">
        <v>3</v>
      </c>
      <c r="K134">
        <f t="shared" si="32"/>
        <v>3</v>
      </c>
      <c r="L134" s="4">
        <v>0</v>
      </c>
      <c r="M134" s="4">
        <v>1</v>
      </c>
      <c r="N134" s="4">
        <v>0</v>
      </c>
      <c r="O134" s="4">
        <v>1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</v>
      </c>
      <c r="AC134" s="4">
        <v>0</v>
      </c>
      <c r="AD134" s="4">
        <v>0</v>
      </c>
      <c r="AE134" s="4">
        <v>0</v>
      </c>
    </row>
    <row r="135" spans="1:31" x14ac:dyDescent="0.25">
      <c r="A135">
        <f t="shared" ref="A135:A149" si="33">ROW()-1</f>
        <v>134</v>
      </c>
      <c r="B135" t="s">
        <v>9</v>
      </c>
      <c r="C135" t="s">
        <v>74</v>
      </c>
      <c r="D135" t="s">
        <v>13</v>
      </c>
      <c r="E135" s="4">
        <v>19</v>
      </c>
      <c r="F135" s="4">
        <v>20</v>
      </c>
      <c r="G135" s="4">
        <v>5</v>
      </c>
      <c r="H135" s="4">
        <v>48</v>
      </c>
      <c r="I135" s="8">
        <f t="shared" ref="I135:I149" si="34">E135/F135</f>
        <v>0.95</v>
      </c>
      <c r="J135">
        <v>5</v>
      </c>
      <c r="K135">
        <f t="shared" si="32"/>
        <v>1</v>
      </c>
      <c r="L135" s="4">
        <v>1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</row>
    <row r="136" spans="1:31" x14ac:dyDescent="0.25">
      <c r="A136">
        <f t="shared" si="33"/>
        <v>135</v>
      </c>
      <c r="B136" t="s">
        <v>9</v>
      </c>
      <c r="C136" t="s">
        <v>19</v>
      </c>
      <c r="D136" t="s">
        <v>13</v>
      </c>
      <c r="E136" s="4">
        <v>20</v>
      </c>
      <c r="F136" s="4">
        <v>16</v>
      </c>
      <c r="G136" s="4">
        <v>3</v>
      </c>
      <c r="H136" s="4">
        <v>43</v>
      </c>
      <c r="I136" s="8">
        <f t="shared" si="34"/>
        <v>1.25</v>
      </c>
      <c r="J136">
        <v>4</v>
      </c>
      <c r="K136">
        <f t="shared" si="32"/>
        <v>1</v>
      </c>
      <c r="L136" s="4">
        <v>0</v>
      </c>
      <c r="M136" s="4">
        <v>1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</row>
    <row r="137" spans="1:31" x14ac:dyDescent="0.25">
      <c r="A137">
        <f t="shared" si="33"/>
        <v>136</v>
      </c>
      <c r="B137" t="s">
        <v>14</v>
      </c>
      <c r="C137" t="s">
        <v>44</v>
      </c>
      <c r="D137" t="s">
        <v>13</v>
      </c>
      <c r="E137" s="4">
        <v>8</v>
      </c>
      <c r="F137" s="4">
        <v>6</v>
      </c>
      <c r="G137" s="4">
        <v>3</v>
      </c>
      <c r="H137" s="4">
        <v>21</v>
      </c>
      <c r="I137" s="8">
        <f t="shared" si="34"/>
        <v>1.3333333333333333</v>
      </c>
      <c r="J137">
        <v>5</v>
      </c>
      <c r="K137">
        <f t="shared" si="32"/>
        <v>1</v>
      </c>
      <c r="L137" s="4">
        <v>0</v>
      </c>
      <c r="M137" s="4">
        <v>0</v>
      </c>
      <c r="N137" s="4">
        <v>0</v>
      </c>
      <c r="O137" s="4">
        <v>0</v>
      </c>
      <c r="P137" s="4">
        <v>1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</row>
    <row r="138" spans="1:31" x14ac:dyDescent="0.25">
      <c r="A138">
        <f t="shared" si="33"/>
        <v>137</v>
      </c>
      <c r="B138" t="s">
        <v>28</v>
      </c>
      <c r="C138" t="s">
        <v>27</v>
      </c>
      <c r="D138" t="s">
        <v>12</v>
      </c>
      <c r="E138" s="4">
        <v>14</v>
      </c>
      <c r="F138" s="4">
        <v>18</v>
      </c>
      <c r="G138" s="4">
        <v>6</v>
      </c>
      <c r="H138" s="4">
        <v>37</v>
      </c>
      <c r="I138" s="8">
        <f t="shared" si="34"/>
        <v>0.77777777777777779</v>
      </c>
      <c r="J138">
        <v>2</v>
      </c>
      <c r="K138">
        <f t="shared" si="32"/>
        <v>1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</row>
    <row r="139" spans="1:31" x14ac:dyDescent="0.25">
      <c r="A139">
        <f t="shared" si="33"/>
        <v>138</v>
      </c>
      <c r="B139" t="s">
        <v>10</v>
      </c>
      <c r="C139" t="s">
        <v>46</v>
      </c>
      <c r="D139" t="s">
        <v>12</v>
      </c>
      <c r="E139" s="4">
        <v>12</v>
      </c>
      <c r="F139" s="4">
        <v>17</v>
      </c>
      <c r="G139" s="4">
        <v>5</v>
      </c>
      <c r="H139" s="4">
        <v>32</v>
      </c>
      <c r="I139" s="8">
        <f t="shared" si="34"/>
        <v>0.70588235294117652</v>
      </c>
      <c r="J139">
        <v>2</v>
      </c>
      <c r="K139">
        <f t="shared" si="32"/>
        <v>1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</row>
    <row r="140" spans="1:31" x14ac:dyDescent="0.25">
      <c r="A140">
        <f t="shared" si="33"/>
        <v>139</v>
      </c>
      <c r="B140" t="s">
        <v>11</v>
      </c>
      <c r="C140" t="s">
        <v>31</v>
      </c>
      <c r="D140" t="s">
        <v>13</v>
      </c>
      <c r="E140" s="4">
        <v>18</v>
      </c>
      <c r="F140" s="4">
        <v>11</v>
      </c>
      <c r="G140" s="4">
        <v>4</v>
      </c>
      <c r="H140" s="4">
        <v>45</v>
      </c>
      <c r="I140" s="8">
        <f t="shared" si="34"/>
        <v>1.6363636363636365</v>
      </c>
      <c r="J140">
        <v>3</v>
      </c>
      <c r="K140">
        <f t="shared" si="32"/>
        <v>1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</row>
    <row r="141" spans="1:31" x14ac:dyDescent="0.25">
      <c r="A141">
        <f t="shared" si="33"/>
        <v>140</v>
      </c>
      <c r="B141" t="s">
        <v>48</v>
      </c>
      <c r="C141" t="s">
        <v>33</v>
      </c>
      <c r="D141" t="s">
        <v>12</v>
      </c>
      <c r="E141" s="4">
        <v>9</v>
      </c>
      <c r="F141" s="4">
        <v>20</v>
      </c>
      <c r="G141" s="4">
        <v>5</v>
      </c>
      <c r="H141" s="4">
        <v>24</v>
      </c>
      <c r="I141" s="8">
        <f t="shared" si="34"/>
        <v>0.45</v>
      </c>
      <c r="J141">
        <v>4</v>
      </c>
      <c r="K141">
        <f t="shared" si="32"/>
        <v>1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</row>
    <row r="142" spans="1:31" x14ac:dyDescent="0.25">
      <c r="A142">
        <f t="shared" si="33"/>
        <v>141</v>
      </c>
      <c r="B142" t="s">
        <v>9</v>
      </c>
      <c r="C142" t="s">
        <v>57</v>
      </c>
      <c r="D142" t="s">
        <v>13</v>
      </c>
      <c r="E142" s="4">
        <v>10</v>
      </c>
      <c r="F142" s="4">
        <v>15</v>
      </c>
      <c r="G142" s="4">
        <v>7</v>
      </c>
      <c r="H142" s="4">
        <v>29</v>
      </c>
      <c r="I142" s="8">
        <f t="shared" si="34"/>
        <v>0.66666666666666663</v>
      </c>
      <c r="J142">
        <v>4</v>
      </c>
      <c r="K142">
        <f t="shared" si="32"/>
        <v>1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</row>
    <row r="143" spans="1:31" x14ac:dyDescent="0.25">
      <c r="A143">
        <f t="shared" si="33"/>
        <v>142</v>
      </c>
      <c r="B143" t="s">
        <v>32</v>
      </c>
      <c r="C143" t="s">
        <v>33</v>
      </c>
      <c r="D143" t="s">
        <v>12</v>
      </c>
      <c r="E143" s="4">
        <v>15</v>
      </c>
      <c r="F143" s="4">
        <v>18</v>
      </c>
      <c r="G143" s="4">
        <v>7</v>
      </c>
      <c r="H143" s="4">
        <v>37</v>
      </c>
      <c r="I143" s="8">
        <f t="shared" si="34"/>
        <v>0.83333333333333337</v>
      </c>
      <c r="J143">
        <v>4</v>
      </c>
      <c r="K143">
        <f t="shared" si="32"/>
        <v>2</v>
      </c>
      <c r="L143" s="4">
        <v>0</v>
      </c>
      <c r="M143" s="4">
        <v>0</v>
      </c>
      <c r="N143" s="4">
        <v>0</v>
      </c>
      <c r="O143" s="4">
        <v>0</v>
      </c>
      <c r="P143" s="4">
        <v>1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</row>
    <row r="144" spans="1:31" x14ac:dyDescent="0.25">
      <c r="A144">
        <f t="shared" si="33"/>
        <v>143</v>
      </c>
      <c r="B144" t="s">
        <v>11</v>
      </c>
      <c r="C144" t="s">
        <v>20</v>
      </c>
      <c r="D144" t="s">
        <v>13</v>
      </c>
      <c r="E144" s="4">
        <v>16</v>
      </c>
      <c r="F144" s="4">
        <v>15</v>
      </c>
      <c r="G144" s="4">
        <v>9</v>
      </c>
      <c r="H144" s="4">
        <v>45</v>
      </c>
      <c r="I144" s="8">
        <f t="shared" si="34"/>
        <v>1.0666666666666667</v>
      </c>
      <c r="J144">
        <v>3</v>
      </c>
      <c r="K144">
        <f t="shared" si="32"/>
        <v>2</v>
      </c>
      <c r="L144" s="4">
        <v>0</v>
      </c>
      <c r="M144" s="4">
        <v>0</v>
      </c>
      <c r="N144" s="4">
        <v>0</v>
      </c>
      <c r="O144" s="4">
        <v>0</v>
      </c>
      <c r="P144" s="4">
        <v>1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</row>
    <row r="145" spans="1:31" x14ac:dyDescent="0.25">
      <c r="A145">
        <f t="shared" si="33"/>
        <v>144</v>
      </c>
      <c r="B145" t="s">
        <v>48</v>
      </c>
      <c r="C145" t="s">
        <v>64</v>
      </c>
      <c r="D145" t="s">
        <v>12</v>
      </c>
      <c r="E145" s="4">
        <v>17</v>
      </c>
      <c r="F145" s="4">
        <v>17</v>
      </c>
      <c r="G145" s="4">
        <v>4</v>
      </c>
      <c r="H145" s="4">
        <v>45</v>
      </c>
      <c r="I145" s="8">
        <f t="shared" si="34"/>
        <v>1</v>
      </c>
      <c r="J145">
        <v>2</v>
      </c>
      <c r="K145">
        <f t="shared" si="32"/>
        <v>2</v>
      </c>
      <c r="L145" s="4">
        <v>0</v>
      </c>
      <c r="M145" s="4">
        <v>0</v>
      </c>
      <c r="N145" s="4">
        <v>0</v>
      </c>
      <c r="O145" s="4">
        <v>0</v>
      </c>
      <c r="P145" s="4">
        <v>1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</row>
    <row r="146" spans="1:31" x14ac:dyDescent="0.25">
      <c r="A146">
        <f t="shared" si="33"/>
        <v>145</v>
      </c>
      <c r="B146" t="s">
        <v>14</v>
      </c>
      <c r="C146" t="s">
        <v>85</v>
      </c>
      <c r="D146" t="s">
        <v>13</v>
      </c>
      <c r="E146" s="4">
        <v>19</v>
      </c>
      <c r="F146" s="4">
        <v>23</v>
      </c>
      <c r="G146" s="4">
        <v>5</v>
      </c>
      <c r="H146" s="4">
        <v>46</v>
      </c>
      <c r="I146" s="8">
        <f t="shared" si="34"/>
        <v>0.82608695652173914</v>
      </c>
      <c r="J146">
        <v>4</v>
      </c>
      <c r="K146">
        <f t="shared" si="32"/>
        <v>2</v>
      </c>
      <c r="L146" s="4">
        <v>0</v>
      </c>
      <c r="M146" s="4">
        <v>0</v>
      </c>
      <c r="N146" s="4">
        <v>0</v>
      </c>
      <c r="O146" s="4">
        <v>0</v>
      </c>
      <c r="P146" s="4">
        <v>1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</row>
    <row r="147" spans="1:31" x14ac:dyDescent="0.25">
      <c r="A147">
        <f t="shared" si="33"/>
        <v>146</v>
      </c>
      <c r="B147" t="s">
        <v>14</v>
      </c>
      <c r="C147" t="s">
        <v>44</v>
      </c>
      <c r="D147" t="s">
        <v>13</v>
      </c>
      <c r="E147" s="4">
        <v>13</v>
      </c>
      <c r="F147" s="4">
        <v>8</v>
      </c>
      <c r="G147" s="4">
        <v>2</v>
      </c>
      <c r="H147" s="4">
        <v>33</v>
      </c>
      <c r="I147" s="8">
        <f t="shared" si="34"/>
        <v>1.625</v>
      </c>
      <c r="J147">
        <v>3</v>
      </c>
      <c r="K147">
        <f t="shared" si="32"/>
        <v>2</v>
      </c>
      <c r="L147" s="4">
        <v>0</v>
      </c>
      <c r="M147" s="4">
        <v>0</v>
      </c>
      <c r="N147" s="4">
        <v>0</v>
      </c>
      <c r="O147" s="4">
        <v>0</v>
      </c>
      <c r="P147" s="4">
        <v>1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</row>
    <row r="148" spans="1:31" x14ac:dyDescent="0.25">
      <c r="A148">
        <f t="shared" si="33"/>
        <v>147</v>
      </c>
      <c r="B148" t="s">
        <v>11</v>
      </c>
      <c r="C148" t="s">
        <v>20</v>
      </c>
      <c r="D148" t="s">
        <v>13</v>
      </c>
      <c r="E148" s="4">
        <v>13</v>
      </c>
      <c r="F148" s="4">
        <v>18</v>
      </c>
      <c r="G148" s="4">
        <v>4</v>
      </c>
      <c r="H148" s="4">
        <v>35</v>
      </c>
      <c r="I148" s="8">
        <f t="shared" si="34"/>
        <v>0.72222222222222221</v>
      </c>
      <c r="J148">
        <v>4</v>
      </c>
      <c r="K148">
        <f t="shared" si="32"/>
        <v>2</v>
      </c>
      <c r="L148" s="4">
        <v>0</v>
      </c>
      <c r="M148" s="4">
        <v>0</v>
      </c>
      <c r="N148" s="4">
        <v>0</v>
      </c>
      <c r="O148" s="4">
        <v>0</v>
      </c>
      <c r="P148" s="4">
        <v>1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</row>
    <row r="149" spans="1:31" x14ac:dyDescent="0.25">
      <c r="A149">
        <f t="shared" si="33"/>
        <v>148</v>
      </c>
      <c r="B149" t="s">
        <v>11</v>
      </c>
      <c r="C149" t="s">
        <v>20</v>
      </c>
      <c r="D149" t="s">
        <v>13</v>
      </c>
      <c r="E149" s="4">
        <v>10</v>
      </c>
      <c r="F149" s="4">
        <v>15</v>
      </c>
      <c r="G149" s="4">
        <v>7</v>
      </c>
      <c r="H149" s="4">
        <v>29</v>
      </c>
      <c r="I149" s="8">
        <f t="shared" si="34"/>
        <v>0.66666666666666663</v>
      </c>
      <c r="J149">
        <v>4</v>
      </c>
      <c r="K149">
        <f t="shared" si="32"/>
        <v>2</v>
      </c>
      <c r="L149" s="4">
        <v>0</v>
      </c>
      <c r="M149" s="4">
        <v>0</v>
      </c>
      <c r="N149" s="4">
        <v>0</v>
      </c>
      <c r="O149" s="4">
        <v>0</v>
      </c>
      <c r="P149" s="4">
        <v>1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1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</row>
    <row r="150" spans="1:31" x14ac:dyDescent="0.25">
      <c r="A150">
        <f t="shared" ref="A150:A157" si="35">ROW()-1</f>
        <v>149</v>
      </c>
      <c r="B150" t="s">
        <v>48</v>
      </c>
      <c r="C150" t="s">
        <v>57</v>
      </c>
      <c r="D150" t="s">
        <v>13</v>
      </c>
      <c r="E150" s="4">
        <v>23</v>
      </c>
      <c r="F150" s="4">
        <v>15</v>
      </c>
      <c r="G150" s="4">
        <v>3</v>
      </c>
      <c r="H150" s="4">
        <v>63</v>
      </c>
      <c r="I150" s="8">
        <f t="shared" ref="I150:I157" si="36">E150/F150</f>
        <v>1.5333333333333334</v>
      </c>
      <c r="J150">
        <v>1</v>
      </c>
      <c r="K150">
        <f t="shared" si="32"/>
        <v>2</v>
      </c>
      <c r="L150" s="4">
        <v>1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</row>
    <row r="151" spans="1:31" x14ac:dyDescent="0.25">
      <c r="A151">
        <f t="shared" si="35"/>
        <v>150</v>
      </c>
      <c r="B151" t="s">
        <v>32</v>
      </c>
      <c r="C151" t="s">
        <v>29</v>
      </c>
      <c r="D151" t="s">
        <v>5</v>
      </c>
      <c r="E151" s="4">
        <v>17</v>
      </c>
      <c r="F151" s="4">
        <v>21</v>
      </c>
      <c r="G151" s="4">
        <v>10</v>
      </c>
      <c r="H151" s="4">
        <v>43</v>
      </c>
      <c r="I151" s="8">
        <f t="shared" si="36"/>
        <v>0.80952380952380953</v>
      </c>
      <c r="J151">
        <v>4</v>
      </c>
      <c r="K151">
        <f t="shared" si="32"/>
        <v>3</v>
      </c>
      <c r="L151" s="4">
        <v>1</v>
      </c>
      <c r="M151" s="4">
        <v>0</v>
      </c>
      <c r="N151" s="4">
        <v>0</v>
      </c>
      <c r="O151" s="4">
        <v>1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1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</row>
    <row r="152" spans="1:31" x14ac:dyDescent="0.25">
      <c r="A152">
        <f t="shared" si="35"/>
        <v>151</v>
      </c>
      <c r="B152" t="s">
        <v>14</v>
      </c>
      <c r="C152" t="s">
        <v>31</v>
      </c>
      <c r="D152" t="s">
        <v>13</v>
      </c>
      <c r="E152" s="4">
        <v>17</v>
      </c>
      <c r="F152" s="4">
        <v>13</v>
      </c>
      <c r="G152" s="4">
        <v>5</v>
      </c>
      <c r="H152" s="4">
        <v>47</v>
      </c>
      <c r="I152" s="8">
        <f t="shared" si="36"/>
        <v>1.3076923076923077</v>
      </c>
      <c r="J152">
        <v>2</v>
      </c>
      <c r="K152">
        <f t="shared" si="32"/>
        <v>3</v>
      </c>
      <c r="L152" s="4">
        <v>1</v>
      </c>
      <c r="M152" s="4">
        <v>0</v>
      </c>
      <c r="N152" s="4">
        <v>0</v>
      </c>
      <c r="O152" s="4">
        <v>1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</row>
    <row r="153" spans="1:31" x14ac:dyDescent="0.25">
      <c r="A153">
        <f t="shared" si="35"/>
        <v>152</v>
      </c>
      <c r="B153" t="s">
        <v>10</v>
      </c>
      <c r="C153" t="s">
        <v>31</v>
      </c>
      <c r="D153" t="s">
        <v>13</v>
      </c>
      <c r="E153" s="4">
        <v>18</v>
      </c>
      <c r="F153" s="4">
        <v>11</v>
      </c>
      <c r="G153" s="4">
        <v>6</v>
      </c>
      <c r="H153" s="4">
        <v>51</v>
      </c>
      <c r="I153" s="8">
        <f t="shared" si="36"/>
        <v>1.6363636363636365</v>
      </c>
      <c r="J153">
        <v>1</v>
      </c>
      <c r="K153">
        <f t="shared" si="32"/>
        <v>3</v>
      </c>
      <c r="L153" s="4">
        <v>1</v>
      </c>
      <c r="M153" s="4">
        <v>0</v>
      </c>
      <c r="N153" s="4">
        <v>0</v>
      </c>
      <c r="O153" s="4">
        <v>1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</row>
    <row r="154" spans="1:31" x14ac:dyDescent="0.25">
      <c r="A154">
        <f t="shared" si="35"/>
        <v>153</v>
      </c>
      <c r="B154" t="s">
        <v>10</v>
      </c>
      <c r="C154" t="s">
        <v>30</v>
      </c>
      <c r="D154" t="s">
        <v>13</v>
      </c>
      <c r="E154" s="4">
        <v>19</v>
      </c>
      <c r="F154" s="4">
        <v>13</v>
      </c>
      <c r="G154" s="4">
        <v>5</v>
      </c>
      <c r="H154" s="4">
        <v>47</v>
      </c>
      <c r="I154" s="8">
        <f t="shared" si="36"/>
        <v>1.4615384615384615</v>
      </c>
      <c r="J154">
        <v>3</v>
      </c>
      <c r="K154">
        <f t="shared" si="32"/>
        <v>4</v>
      </c>
      <c r="L154" s="4">
        <v>1</v>
      </c>
      <c r="M154" s="4">
        <v>0</v>
      </c>
      <c r="N154" s="4">
        <v>1</v>
      </c>
      <c r="O154" s="4">
        <v>1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</row>
    <row r="155" spans="1:31" x14ac:dyDescent="0.25">
      <c r="A155">
        <f t="shared" si="35"/>
        <v>154</v>
      </c>
      <c r="B155" t="s">
        <v>14</v>
      </c>
      <c r="C155" t="s">
        <v>19</v>
      </c>
      <c r="D155" t="s">
        <v>13</v>
      </c>
      <c r="E155" s="4">
        <v>15</v>
      </c>
      <c r="F155" s="4">
        <v>13</v>
      </c>
      <c r="G155" s="4">
        <v>3</v>
      </c>
      <c r="H155" s="4">
        <v>49</v>
      </c>
      <c r="I155" s="8">
        <f t="shared" si="36"/>
        <v>1.1538461538461537</v>
      </c>
      <c r="J155">
        <v>2</v>
      </c>
      <c r="K155">
        <f t="shared" si="32"/>
        <v>4</v>
      </c>
      <c r="L155" s="4">
        <v>1</v>
      </c>
      <c r="M155" s="4">
        <v>0</v>
      </c>
      <c r="N155" s="4">
        <v>1</v>
      </c>
      <c r="O155" s="4">
        <v>1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</row>
    <row r="156" spans="1:31" x14ac:dyDescent="0.25">
      <c r="A156">
        <f t="shared" si="35"/>
        <v>155</v>
      </c>
      <c r="B156" t="s">
        <v>14</v>
      </c>
      <c r="C156" t="s">
        <v>61</v>
      </c>
      <c r="D156" t="s">
        <v>12</v>
      </c>
      <c r="E156" s="4">
        <v>8</v>
      </c>
      <c r="F156" s="4">
        <v>14</v>
      </c>
      <c r="G156" s="4">
        <v>2</v>
      </c>
      <c r="H156" s="4">
        <v>19</v>
      </c>
      <c r="I156" s="8">
        <f t="shared" si="36"/>
        <v>0.5714285714285714</v>
      </c>
      <c r="J156">
        <v>5</v>
      </c>
      <c r="K156">
        <f t="shared" si="32"/>
        <v>4</v>
      </c>
      <c r="L156" s="4">
        <v>1</v>
      </c>
      <c r="M156" s="4">
        <v>0</v>
      </c>
      <c r="N156" s="4">
        <v>1</v>
      </c>
      <c r="O156" s="4">
        <v>1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</row>
    <row r="157" spans="1:31" x14ac:dyDescent="0.25">
      <c r="A157">
        <f t="shared" si="35"/>
        <v>156</v>
      </c>
      <c r="B157" t="s">
        <v>48</v>
      </c>
      <c r="C157" t="s">
        <v>21</v>
      </c>
      <c r="D157" t="s">
        <v>13</v>
      </c>
      <c r="E157" s="4">
        <v>13</v>
      </c>
      <c r="F157" s="4">
        <v>7</v>
      </c>
      <c r="G157" s="4">
        <v>4</v>
      </c>
      <c r="H157" s="4">
        <v>38</v>
      </c>
      <c r="I157" s="8">
        <f t="shared" si="36"/>
        <v>1.8571428571428572</v>
      </c>
      <c r="J157">
        <v>3</v>
      </c>
      <c r="K157">
        <f t="shared" si="32"/>
        <v>3</v>
      </c>
      <c r="L157" s="4">
        <v>0</v>
      </c>
      <c r="M157" s="4">
        <v>0</v>
      </c>
      <c r="N157" s="4">
        <v>1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</row>
    <row r="158" spans="1:31" x14ac:dyDescent="0.25">
      <c r="A158">
        <f t="shared" ref="A158:A163" si="37">ROW()-1</f>
        <v>157</v>
      </c>
      <c r="B158" t="s">
        <v>14</v>
      </c>
      <c r="C158" t="s">
        <v>33</v>
      </c>
      <c r="D158" t="s">
        <v>12</v>
      </c>
      <c r="E158" s="4">
        <v>11</v>
      </c>
      <c r="F158" s="4">
        <v>18</v>
      </c>
      <c r="G158" s="4">
        <v>7</v>
      </c>
      <c r="H158" s="4">
        <v>33</v>
      </c>
      <c r="I158" s="8">
        <f t="shared" ref="I158:I163" si="38">E158/F158</f>
        <v>0.61111111111111116</v>
      </c>
      <c r="J158">
        <v>3</v>
      </c>
      <c r="K158">
        <f t="shared" si="32"/>
        <v>2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1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</row>
    <row r="159" spans="1:31" x14ac:dyDescent="0.25">
      <c r="A159">
        <f t="shared" si="37"/>
        <v>158</v>
      </c>
      <c r="B159" t="s">
        <v>14</v>
      </c>
      <c r="C159" t="s">
        <v>29</v>
      </c>
      <c r="D159" t="s">
        <v>5</v>
      </c>
      <c r="E159" s="4">
        <v>29</v>
      </c>
      <c r="F159" s="4">
        <v>20</v>
      </c>
      <c r="G159" s="4">
        <v>11</v>
      </c>
      <c r="H159" s="4">
        <v>73</v>
      </c>
      <c r="I159" s="8">
        <f t="shared" si="38"/>
        <v>1.45</v>
      </c>
      <c r="J159">
        <v>1</v>
      </c>
      <c r="K159">
        <f t="shared" si="32"/>
        <v>3</v>
      </c>
      <c r="L159" s="4">
        <v>1</v>
      </c>
      <c r="M159" s="4">
        <v>1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1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</row>
    <row r="160" spans="1:31" x14ac:dyDescent="0.25">
      <c r="A160">
        <f t="shared" si="37"/>
        <v>159</v>
      </c>
      <c r="B160" t="s">
        <v>48</v>
      </c>
      <c r="C160" t="s">
        <v>17</v>
      </c>
      <c r="D160" t="s">
        <v>12</v>
      </c>
      <c r="E160" s="4">
        <v>22</v>
      </c>
      <c r="F160" s="4">
        <v>16</v>
      </c>
      <c r="G160" s="4">
        <v>8</v>
      </c>
      <c r="H160" s="4">
        <v>65</v>
      </c>
      <c r="I160" s="8">
        <f t="shared" si="38"/>
        <v>1.375</v>
      </c>
      <c r="J160">
        <v>1</v>
      </c>
      <c r="K160">
        <f t="shared" si="32"/>
        <v>4</v>
      </c>
      <c r="L160" s="4">
        <v>1</v>
      </c>
      <c r="M160" s="4">
        <v>1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</v>
      </c>
      <c r="AC160" s="4">
        <v>0</v>
      </c>
      <c r="AD160" s="4">
        <v>0</v>
      </c>
      <c r="AE160" s="4">
        <v>0</v>
      </c>
    </row>
    <row r="161" spans="1:32" x14ac:dyDescent="0.25">
      <c r="A161">
        <f t="shared" si="37"/>
        <v>160</v>
      </c>
      <c r="B161" t="s">
        <v>14</v>
      </c>
      <c r="C161" t="s">
        <v>31</v>
      </c>
      <c r="D161" t="s">
        <v>13</v>
      </c>
      <c r="E161" s="4">
        <v>15</v>
      </c>
      <c r="F161" s="4">
        <v>14</v>
      </c>
      <c r="G161" s="4">
        <v>8</v>
      </c>
      <c r="H161" s="4">
        <v>41</v>
      </c>
      <c r="I161" s="8">
        <f t="shared" si="38"/>
        <v>1.0714285714285714</v>
      </c>
      <c r="J161">
        <v>2</v>
      </c>
      <c r="K161">
        <f t="shared" si="32"/>
        <v>3</v>
      </c>
      <c r="L161" s="4">
        <v>0</v>
      </c>
      <c r="M161" s="4">
        <v>1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1</v>
      </c>
      <c r="AC161" s="4">
        <v>0</v>
      </c>
      <c r="AD161" s="4">
        <v>0</v>
      </c>
      <c r="AE161" s="4">
        <v>0</v>
      </c>
    </row>
    <row r="162" spans="1:32" x14ac:dyDescent="0.25">
      <c r="A162">
        <f t="shared" si="37"/>
        <v>161</v>
      </c>
      <c r="B162" t="s">
        <v>48</v>
      </c>
      <c r="C162" t="s">
        <v>61</v>
      </c>
      <c r="D162" t="s">
        <v>12</v>
      </c>
      <c r="E162" s="4">
        <v>15</v>
      </c>
      <c r="F162" s="4">
        <v>15</v>
      </c>
      <c r="G162" s="4">
        <v>7</v>
      </c>
      <c r="H162" s="4">
        <v>35</v>
      </c>
      <c r="I162" s="8">
        <f t="shared" si="38"/>
        <v>1</v>
      </c>
      <c r="J162">
        <v>2</v>
      </c>
      <c r="K162">
        <f t="shared" ref="K162:K186" si="39">SUM(L162:AE162)</f>
        <v>4</v>
      </c>
      <c r="L162" s="4">
        <v>0</v>
      </c>
      <c r="M162" s="4">
        <v>1</v>
      </c>
      <c r="N162" s="4">
        <v>0</v>
      </c>
      <c r="O162" s="4">
        <v>0</v>
      </c>
      <c r="P162" s="4">
        <v>1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</v>
      </c>
      <c r="AC162" s="4">
        <v>0</v>
      </c>
      <c r="AD162" s="4">
        <v>0</v>
      </c>
      <c r="AE162" s="4">
        <v>0</v>
      </c>
    </row>
    <row r="163" spans="1:32" x14ac:dyDescent="0.25">
      <c r="A163">
        <f t="shared" si="37"/>
        <v>162</v>
      </c>
      <c r="B163" t="s">
        <v>14</v>
      </c>
      <c r="C163" t="s">
        <v>20</v>
      </c>
      <c r="D163" t="s">
        <v>13</v>
      </c>
      <c r="E163" s="4">
        <v>17</v>
      </c>
      <c r="F163" s="4">
        <v>16</v>
      </c>
      <c r="G163" s="4">
        <v>5</v>
      </c>
      <c r="H163" s="4">
        <v>45</v>
      </c>
      <c r="I163" s="8">
        <f t="shared" si="38"/>
        <v>1.0625</v>
      </c>
      <c r="J163">
        <v>4</v>
      </c>
      <c r="K163">
        <f t="shared" si="39"/>
        <v>4</v>
      </c>
      <c r="L163" s="4">
        <v>0</v>
      </c>
      <c r="M163" s="4">
        <v>1</v>
      </c>
      <c r="N163" s="4">
        <v>0</v>
      </c>
      <c r="O163" s="4">
        <v>0</v>
      </c>
      <c r="P163" s="4">
        <v>1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1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1</v>
      </c>
      <c r="AC163" s="4">
        <v>0</v>
      </c>
      <c r="AD163" s="4">
        <v>0</v>
      </c>
      <c r="AE163" s="4">
        <v>0</v>
      </c>
    </row>
    <row r="164" spans="1:32" x14ac:dyDescent="0.25">
      <c r="A164">
        <f t="shared" ref="A164:A169" si="40">ROW()-1</f>
        <v>163</v>
      </c>
      <c r="B164" t="s">
        <v>14</v>
      </c>
      <c r="C164" t="s">
        <v>19</v>
      </c>
      <c r="D164" t="s">
        <v>13</v>
      </c>
      <c r="E164" s="4">
        <v>16</v>
      </c>
      <c r="F164" s="4">
        <v>18</v>
      </c>
      <c r="G164" s="4">
        <v>8</v>
      </c>
      <c r="H164" s="4">
        <v>41</v>
      </c>
      <c r="I164" s="8">
        <f t="shared" ref="I164:I169" si="41">E164/F164</f>
        <v>0.88888888888888884</v>
      </c>
      <c r="J164">
        <v>5</v>
      </c>
      <c r="K164">
        <f t="shared" si="39"/>
        <v>4</v>
      </c>
      <c r="L164" s="4">
        <v>0</v>
      </c>
      <c r="M164" s="4">
        <v>1</v>
      </c>
      <c r="N164" s="4">
        <v>1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1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</v>
      </c>
      <c r="AC164" s="4">
        <v>0</v>
      </c>
      <c r="AD164" s="4">
        <v>0</v>
      </c>
      <c r="AE164" s="4">
        <v>0</v>
      </c>
    </row>
    <row r="165" spans="1:32" x14ac:dyDescent="0.25">
      <c r="A165">
        <f t="shared" si="40"/>
        <v>164</v>
      </c>
      <c r="B165" t="s">
        <v>14</v>
      </c>
      <c r="C165" t="s">
        <v>19</v>
      </c>
      <c r="D165" t="s">
        <v>13</v>
      </c>
      <c r="E165" s="4">
        <v>25</v>
      </c>
      <c r="F165" s="4">
        <v>15</v>
      </c>
      <c r="G165" s="4">
        <v>4</v>
      </c>
      <c r="H165" s="4">
        <v>62</v>
      </c>
      <c r="I165" s="8">
        <f t="shared" si="41"/>
        <v>1.6666666666666667</v>
      </c>
      <c r="J165">
        <v>1</v>
      </c>
      <c r="K165">
        <f t="shared" si="39"/>
        <v>4</v>
      </c>
      <c r="L165" s="4">
        <v>0</v>
      </c>
      <c r="M165" s="4">
        <v>1</v>
      </c>
      <c r="N165" s="4">
        <v>1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1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1</v>
      </c>
      <c r="AC165" s="4">
        <v>0</v>
      </c>
      <c r="AD165" s="4">
        <v>0</v>
      </c>
      <c r="AE165" s="4">
        <v>0</v>
      </c>
    </row>
    <row r="166" spans="1:32" x14ac:dyDescent="0.25">
      <c r="A166">
        <f t="shared" si="40"/>
        <v>165</v>
      </c>
      <c r="B166" t="s">
        <v>14</v>
      </c>
      <c r="C166" t="s">
        <v>33</v>
      </c>
      <c r="D166" t="s">
        <v>12</v>
      </c>
      <c r="E166" s="4">
        <v>11</v>
      </c>
      <c r="F166" s="4">
        <v>18</v>
      </c>
      <c r="G166" s="4">
        <v>8</v>
      </c>
      <c r="H166" s="4">
        <v>33</v>
      </c>
      <c r="I166" s="8">
        <f t="shared" si="41"/>
        <v>0.61111111111111116</v>
      </c>
      <c r="J166">
        <v>3</v>
      </c>
      <c r="K166">
        <f t="shared" si="39"/>
        <v>4</v>
      </c>
      <c r="L166" s="4">
        <v>0</v>
      </c>
      <c r="M166" s="4">
        <v>1</v>
      </c>
      <c r="N166" s="4">
        <v>1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</v>
      </c>
      <c r="AC166" s="4">
        <v>0</v>
      </c>
      <c r="AD166" s="4">
        <v>0</v>
      </c>
      <c r="AE166" s="4">
        <v>0</v>
      </c>
    </row>
    <row r="167" spans="1:32" x14ac:dyDescent="0.25">
      <c r="A167">
        <f t="shared" si="40"/>
        <v>166</v>
      </c>
      <c r="B167" t="s">
        <v>32</v>
      </c>
      <c r="C167" t="s">
        <v>16</v>
      </c>
      <c r="D167" t="s">
        <v>13</v>
      </c>
      <c r="E167" s="4">
        <v>20</v>
      </c>
      <c r="F167" s="4">
        <v>10</v>
      </c>
      <c r="G167" s="4">
        <v>4</v>
      </c>
      <c r="H167" s="4">
        <v>73</v>
      </c>
      <c r="I167" s="8">
        <f t="shared" si="41"/>
        <v>2</v>
      </c>
      <c r="J167">
        <v>1</v>
      </c>
      <c r="K167">
        <f t="shared" si="39"/>
        <v>3</v>
      </c>
      <c r="L167" s="4">
        <v>1</v>
      </c>
      <c r="M167" s="4">
        <v>1</v>
      </c>
      <c r="N167" s="4">
        <v>1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</row>
    <row r="168" spans="1:32" x14ac:dyDescent="0.25">
      <c r="A168">
        <f t="shared" si="40"/>
        <v>167</v>
      </c>
      <c r="B168" t="s">
        <v>14</v>
      </c>
      <c r="C168" t="s">
        <v>46</v>
      </c>
      <c r="D168" t="s">
        <v>12</v>
      </c>
      <c r="E168" s="4">
        <v>16</v>
      </c>
      <c r="F168" s="4">
        <v>17</v>
      </c>
      <c r="G168" s="4">
        <v>5</v>
      </c>
      <c r="H168" s="4">
        <v>40</v>
      </c>
      <c r="I168" s="8">
        <f t="shared" si="41"/>
        <v>0.94117647058823528</v>
      </c>
      <c r="J168">
        <v>1</v>
      </c>
      <c r="K168">
        <f t="shared" si="39"/>
        <v>3</v>
      </c>
      <c r="L168" s="4">
        <v>1</v>
      </c>
      <c r="M168" s="4">
        <v>1</v>
      </c>
      <c r="N168" s="4">
        <v>1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</row>
    <row r="169" spans="1:32" x14ac:dyDescent="0.25">
      <c r="A169">
        <f t="shared" si="40"/>
        <v>168</v>
      </c>
      <c r="B169" t="s">
        <v>9</v>
      </c>
      <c r="C169" t="s">
        <v>88</v>
      </c>
      <c r="D169" t="s">
        <v>12</v>
      </c>
      <c r="E169" s="4">
        <v>26</v>
      </c>
      <c r="F169" s="4">
        <v>19</v>
      </c>
      <c r="G169" s="4">
        <v>5</v>
      </c>
      <c r="H169" s="4">
        <v>67</v>
      </c>
      <c r="I169" s="8">
        <f t="shared" si="41"/>
        <v>1.368421052631579</v>
      </c>
      <c r="J169">
        <v>1</v>
      </c>
      <c r="K169">
        <f t="shared" si="39"/>
        <v>3</v>
      </c>
      <c r="L169" s="4">
        <v>1</v>
      </c>
      <c r="M169" s="4">
        <v>1</v>
      </c>
      <c r="N169" s="4">
        <v>1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</row>
    <row r="170" spans="1:32" x14ac:dyDescent="0.25">
      <c r="A170">
        <f t="shared" ref="A170:A178" si="42">ROW()-1</f>
        <v>169</v>
      </c>
      <c r="B170" t="s">
        <v>10</v>
      </c>
      <c r="C170" t="s">
        <v>21</v>
      </c>
      <c r="D170" t="s">
        <v>13</v>
      </c>
      <c r="E170" s="4">
        <v>17</v>
      </c>
      <c r="F170" s="4">
        <v>7</v>
      </c>
      <c r="G170" s="4">
        <v>1</v>
      </c>
      <c r="H170" s="4">
        <v>47</v>
      </c>
      <c r="I170" s="8">
        <f t="shared" ref="I170:I178" si="43">E170/F170</f>
        <v>2.4285714285714284</v>
      </c>
      <c r="J170">
        <v>2</v>
      </c>
      <c r="K170">
        <f t="shared" si="39"/>
        <v>1</v>
      </c>
      <c r="L170" s="4">
        <v>0</v>
      </c>
      <c r="M170" s="4">
        <v>0</v>
      </c>
      <c r="N170" s="4">
        <v>0</v>
      </c>
      <c r="O170" s="4">
        <v>0</v>
      </c>
      <c r="P170" s="4">
        <v>1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</row>
    <row r="171" spans="1:32" x14ac:dyDescent="0.25">
      <c r="A171">
        <f t="shared" si="42"/>
        <v>170</v>
      </c>
      <c r="B171" t="s">
        <v>32</v>
      </c>
      <c r="C171" t="s">
        <v>46</v>
      </c>
      <c r="D171" t="s">
        <v>12</v>
      </c>
      <c r="E171" s="4">
        <v>16</v>
      </c>
      <c r="F171" s="4">
        <v>16</v>
      </c>
      <c r="G171" s="4">
        <v>3</v>
      </c>
      <c r="H171" s="4">
        <v>41</v>
      </c>
      <c r="I171" s="8">
        <f t="shared" si="43"/>
        <v>1</v>
      </c>
      <c r="J171">
        <v>2</v>
      </c>
      <c r="K171">
        <f t="shared" si="39"/>
        <v>4</v>
      </c>
      <c r="L171" s="4">
        <v>1</v>
      </c>
      <c r="M171" s="4">
        <v>1</v>
      </c>
      <c r="N171" s="4">
        <v>0</v>
      </c>
      <c r="O171" s="4">
        <v>0</v>
      </c>
      <c r="P171" s="4">
        <v>1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1</v>
      </c>
      <c r="AC171" s="4">
        <v>0</v>
      </c>
      <c r="AD171" s="4">
        <v>0</v>
      </c>
      <c r="AE171" s="4">
        <v>0</v>
      </c>
    </row>
    <row r="172" spans="1:32" x14ac:dyDescent="0.25">
      <c r="A172">
        <f t="shared" si="42"/>
        <v>171</v>
      </c>
      <c r="B172" t="s">
        <v>10</v>
      </c>
      <c r="C172" t="s">
        <v>30</v>
      </c>
      <c r="D172" t="s">
        <v>13</v>
      </c>
      <c r="E172" s="4">
        <v>22</v>
      </c>
      <c r="F172" s="4">
        <v>11</v>
      </c>
      <c r="G172" s="4">
        <v>1</v>
      </c>
      <c r="H172" s="4">
        <v>49</v>
      </c>
      <c r="I172" s="8">
        <f t="shared" si="43"/>
        <v>2</v>
      </c>
      <c r="J172">
        <v>1</v>
      </c>
      <c r="K172">
        <f t="shared" si="39"/>
        <v>4</v>
      </c>
      <c r="L172" s="4">
        <v>1</v>
      </c>
      <c r="M172" s="4">
        <v>1</v>
      </c>
      <c r="N172" s="4">
        <v>0</v>
      </c>
      <c r="O172" s="4">
        <v>0</v>
      </c>
      <c r="P172" s="4">
        <v>1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</v>
      </c>
      <c r="AC172" s="4">
        <v>0</v>
      </c>
      <c r="AD172" s="4">
        <v>0</v>
      </c>
      <c r="AE172" s="4">
        <v>0</v>
      </c>
    </row>
    <row r="173" spans="1:32" x14ac:dyDescent="0.25">
      <c r="A173">
        <f t="shared" si="42"/>
        <v>172</v>
      </c>
      <c r="B173" t="s">
        <v>10</v>
      </c>
      <c r="C173" t="s">
        <v>33</v>
      </c>
      <c r="D173" t="s">
        <v>12</v>
      </c>
      <c r="E173" s="4">
        <v>12</v>
      </c>
      <c r="F173" s="4">
        <v>19</v>
      </c>
      <c r="G173" s="4">
        <v>5</v>
      </c>
      <c r="H173" s="4">
        <v>25</v>
      </c>
      <c r="I173" s="8">
        <f t="shared" si="43"/>
        <v>0.63157894736842102</v>
      </c>
      <c r="J173">
        <v>2</v>
      </c>
      <c r="K173">
        <f t="shared" si="39"/>
        <v>4</v>
      </c>
      <c r="L173" s="4">
        <v>1</v>
      </c>
      <c r="M173" s="4">
        <v>1</v>
      </c>
      <c r="N173" s="4">
        <v>0</v>
      </c>
      <c r="O173" s="4">
        <v>0</v>
      </c>
      <c r="P173" s="4">
        <v>1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1</v>
      </c>
      <c r="AC173" s="4">
        <v>0</v>
      </c>
      <c r="AD173" s="4">
        <v>0</v>
      </c>
      <c r="AE173" s="4">
        <v>0</v>
      </c>
      <c r="AF173" t="s">
        <v>89</v>
      </c>
    </row>
    <row r="174" spans="1:32" x14ac:dyDescent="0.25">
      <c r="A174">
        <f t="shared" si="42"/>
        <v>173</v>
      </c>
      <c r="B174" t="s">
        <v>11</v>
      </c>
      <c r="C174" t="s">
        <v>33</v>
      </c>
      <c r="D174" t="s">
        <v>12</v>
      </c>
      <c r="E174" s="4">
        <v>14</v>
      </c>
      <c r="F174" s="4">
        <v>19</v>
      </c>
      <c r="G174" s="4">
        <v>2</v>
      </c>
      <c r="H174" s="4">
        <v>39</v>
      </c>
      <c r="I174" s="8">
        <f t="shared" si="43"/>
        <v>0.73684210526315785</v>
      </c>
      <c r="J174">
        <v>2</v>
      </c>
      <c r="K174">
        <f t="shared" si="39"/>
        <v>4</v>
      </c>
      <c r="L174" s="4">
        <v>1</v>
      </c>
      <c r="M174" s="4">
        <v>1</v>
      </c>
      <c r="N174" s="4">
        <v>0</v>
      </c>
      <c r="O174" s="4">
        <v>0</v>
      </c>
      <c r="P174" s="4">
        <v>1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</v>
      </c>
      <c r="AC174" s="4">
        <v>0</v>
      </c>
      <c r="AD174" s="4">
        <v>0</v>
      </c>
      <c r="AE174" s="4">
        <v>0</v>
      </c>
    </row>
    <row r="175" spans="1:32" x14ac:dyDescent="0.25">
      <c r="A175">
        <f t="shared" si="42"/>
        <v>174</v>
      </c>
      <c r="B175" t="s">
        <v>14</v>
      </c>
      <c r="C175" t="s">
        <v>17</v>
      </c>
      <c r="D175" t="s">
        <v>12</v>
      </c>
      <c r="E175" s="4">
        <v>20</v>
      </c>
      <c r="F175" s="4">
        <v>16</v>
      </c>
      <c r="G175" s="4">
        <v>5</v>
      </c>
      <c r="H175" s="4">
        <v>52</v>
      </c>
      <c r="I175" s="8">
        <f t="shared" si="43"/>
        <v>1.25</v>
      </c>
      <c r="J175">
        <v>2</v>
      </c>
      <c r="K175">
        <f t="shared" si="39"/>
        <v>2</v>
      </c>
      <c r="L175" s="4">
        <v>0</v>
      </c>
      <c r="M175" s="4">
        <v>1</v>
      </c>
      <c r="N175" s="4">
        <v>1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</row>
    <row r="176" spans="1:32" x14ac:dyDescent="0.25">
      <c r="A176">
        <f t="shared" si="42"/>
        <v>175</v>
      </c>
      <c r="B176" t="s">
        <v>48</v>
      </c>
      <c r="C176" t="s">
        <v>33</v>
      </c>
      <c r="D176" t="s">
        <v>12</v>
      </c>
      <c r="E176" s="4">
        <v>20</v>
      </c>
      <c r="F176" s="4">
        <v>16</v>
      </c>
      <c r="G176" s="4">
        <v>5</v>
      </c>
      <c r="H176" s="4">
        <v>53</v>
      </c>
      <c r="I176" s="8">
        <f t="shared" si="43"/>
        <v>1.25</v>
      </c>
      <c r="J176">
        <v>1</v>
      </c>
      <c r="K176">
        <f t="shared" si="39"/>
        <v>4</v>
      </c>
      <c r="L176" s="4">
        <v>1</v>
      </c>
      <c r="M176" s="4">
        <v>1</v>
      </c>
      <c r="N176" s="4">
        <v>1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1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</row>
    <row r="177" spans="1:31" x14ac:dyDescent="0.25">
      <c r="A177">
        <f t="shared" si="42"/>
        <v>176</v>
      </c>
      <c r="B177" t="s">
        <v>28</v>
      </c>
      <c r="C177" t="s">
        <v>90</v>
      </c>
      <c r="D177" t="s">
        <v>13</v>
      </c>
      <c r="E177" s="4">
        <v>8</v>
      </c>
      <c r="F177" s="4">
        <v>10</v>
      </c>
      <c r="G177" s="4">
        <v>6</v>
      </c>
      <c r="H177" s="4">
        <v>31</v>
      </c>
      <c r="I177" s="8">
        <f t="shared" si="43"/>
        <v>0.8</v>
      </c>
      <c r="J177">
        <v>4</v>
      </c>
      <c r="K177">
        <f t="shared" si="39"/>
        <v>4</v>
      </c>
      <c r="L177" s="4">
        <v>0</v>
      </c>
      <c r="M177" s="4">
        <v>1</v>
      </c>
      <c r="N177" s="4">
        <v>1</v>
      </c>
      <c r="O177" s="4">
        <v>0</v>
      </c>
      <c r="P177" s="4">
        <v>1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1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</row>
    <row r="178" spans="1:31" x14ac:dyDescent="0.25">
      <c r="A178">
        <f t="shared" si="42"/>
        <v>177</v>
      </c>
      <c r="B178" t="s">
        <v>14</v>
      </c>
      <c r="C178" t="s">
        <v>20</v>
      </c>
      <c r="D178" t="s">
        <v>13</v>
      </c>
      <c r="E178" s="4">
        <v>9</v>
      </c>
      <c r="F178" s="4">
        <v>18</v>
      </c>
      <c r="G178" s="4">
        <v>3</v>
      </c>
      <c r="H178" s="4">
        <v>24</v>
      </c>
      <c r="I178" s="8">
        <f t="shared" si="43"/>
        <v>0.5</v>
      </c>
      <c r="J178">
        <v>5</v>
      </c>
      <c r="K178">
        <f t="shared" si="39"/>
        <v>4</v>
      </c>
      <c r="L178" s="4">
        <v>0</v>
      </c>
      <c r="M178" s="4">
        <v>1</v>
      </c>
      <c r="N178" s="4">
        <v>1</v>
      </c>
      <c r="O178" s="4">
        <v>0</v>
      </c>
      <c r="P178" s="4">
        <v>1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</row>
    <row r="179" spans="1:31" x14ac:dyDescent="0.25">
      <c r="A179">
        <f t="shared" ref="A179:A186" si="44">ROW()-1</f>
        <v>178</v>
      </c>
      <c r="B179" t="s">
        <v>10</v>
      </c>
      <c r="C179" t="s">
        <v>74</v>
      </c>
      <c r="D179" t="s">
        <v>13</v>
      </c>
      <c r="E179" s="4">
        <v>21</v>
      </c>
      <c r="F179" s="4">
        <v>22</v>
      </c>
      <c r="G179" s="4">
        <v>6</v>
      </c>
      <c r="H179" s="4">
        <v>56</v>
      </c>
      <c r="I179" s="8">
        <f t="shared" ref="I179:I186" si="45">E179/F179</f>
        <v>0.95454545454545459</v>
      </c>
      <c r="J179">
        <v>3</v>
      </c>
      <c r="K179">
        <f t="shared" si="39"/>
        <v>1</v>
      </c>
      <c r="L179" s="4">
        <v>0</v>
      </c>
      <c r="M179" s="4">
        <v>0</v>
      </c>
      <c r="N179" s="4">
        <v>0</v>
      </c>
      <c r="O179" s="4">
        <v>0</v>
      </c>
      <c r="P179" s="4">
        <v>1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</row>
    <row r="180" spans="1:31" x14ac:dyDescent="0.25">
      <c r="A180">
        <f t="shared" si="44"/>
        <v>179</v>
      </c>
      <c r="B180" t="s">
        <v>9</v>
      </c>
      <c r="C180" t="s">
        <v>27</v>
      </c>
      <c r="D180" t="s">
        <v>12</v>
      </c>
      <c r="E180" s="4">
        <v>7</v>
      </c>
      <c r="F180" s="4">
        <v>19</v>
      </c>
      <c r="G180" s="4">
        <v>3</v>
      </c>
      <c r="H180" s="4">
        <v>22</v>
      </c>
      <c r="I180" s="8">
        <f t="shared" si="45"/>
        <v>0.36842105263157893</v>
      </c>
      <c r="J180">
        <v>5</v>
      </c>
      <c r="K180">
        <f t="shared" si="39"/>
        <v>1</v>
      </c>
      <c r="L180" s="4">
        <v>0</v>
      </c>
      <c r="M180" s="4">
        <v>0</v>
      </c>
      <c r="N180" s="4">
        <v>0</v>
      </c>
      <c r="O180" s="4">
        <v>0</v>
      </c>
      <c r="P180" s="4">
        <v>1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</row>
    <row r="181" spans="1:31" x14ac:dyDescent="0.25">
      <c r="A181">
        <f t="shared" si="44"/>
        <v>180</v>
      </c>
      <c r="B181" t="s">
        <v>14</v>
      </c>
      <c r="C181" t="s">
        <v>23</v>
      </c>
      <c r="D181" t="s">
        <v>12</v>
      </c>
      <c r="E181" s="4">
        <v>12</v>
      </c>
      <c r="F181" s="4">
        <v>18</v>
      </c>
      <c r="G181" s="4">
        <v>1</v>
      </c>
      <c r="H181" s="4">
        <v>26</v>
      </c>
      <c r="I181" s="8">
        <f t="shared" si="45"/>
        <v>0.66666666666666663</v>
      </c>
      <c r="J181">
        <v>5</v>
      </c>
      <c r="K181">
        <f t="shared" si="39"/>
        <v>1</v>
      </c>
      <c r="L181" s="4">
        <v>0</v>
      </c>
      <c r="M181" s="4">
        <v>0</v>
      </c>
      <c r="N181" s="4">
        <v>0</v>
      </c>
      <c r="O181" s="4">
        <v>0</v>
      </c>
      <c r="P181" s="4">
        <v>1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</row>
    <row r="182" spans="1:31" x14ac:dyDescent="0.25">
      <c r="A182">
        <f t="shared" si="44"/>
        <v>181</v>
      </c>
      <c r="B182" t="s">
        <v>32</v>
      </c>
      <c r="C182" t="s">
        <v>66</v>
      </c>
      <c r="D182" t="s">
        <v>13</v>
      </c>
      <c r="E182" s="4">
        <v>21</v>
      </c>
      <c r="F182" s="4">
        <v>8</v>
      </c>
      <c r="G182" s="4">
        <v>5</v>
      </c>
      <c r="H182" s="4">
        <v>52</v>
      </c>
      <c r="I182" s="8">
        <f t="shared" si="45"/>
        <v>2.625</v>
      </c>
      <c r="J182">
        <v>1</v>
      </c>
      <c r="K182">
        <f t="shared" si="39"/>
        <v>4</v>
      </c>
      <c r="L182" s="4">
        <v>0</v>
      </c>
      <c r="M182" s="4">
        <v>0</v>
      </c>
      <c r="N182" s="4">
        <v>0</v>
      </c>
      <c r="O182" s="4">
        <v>0</v>
      </c>
      <c r="P182" s="4">
        <v>1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1</v>
      </c>
      <c r="Z182" s="4">
        <v>0</v>
      </c>
      <c r="AA182" s="4">
        <v>0</v>
      </c>
      <c r="AB182" s="4">
        <v>0</v>
      </c>
      <c r="AC182" s="4">
        <v>1</v>
      </c>
      <c r="AD182" s="4">
        <v>1</v>
      </c>
      <c r="AE182" s="4">
        <v>0</v>
      </c>
    </row>
    <row r="183" spans="1:31" x14ac:dyDescent="0.25">
      <c r="A183">
        <f t="shared" si="44"/>
        <v>182</v>
      </c>
      <c r="B183" t="s">
        <v>14</v>
      </c>
      <c r="C183" t="s">
        <v>20</v>
      </c>
      <c r="D183" t="s">
        <v>13</v>
      </c>
      <c r="E183" s="4">
        <v>15</v>
      </c>
      <c r="F183" s="4">
        <v>17</v>
      </c>
      <c r="G183" s="4">
        <v>11</v>
      </c>
      <c r="H183" s="4">
        <v>42</v>
      </c>
      <c r="I183" s="8">
        <f t="shared" si="45"/>
        <v>0.88235294117647056</v>
      </c>
      <c r="J183">
        <v>4</v>
      </c>
      <c r="K183">
        <f t="shared" si="39"/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</row>
    <row r="184" spans="1:31" x14ac:dyDescent="0.25">
      <c r="A184">
        <f t="shared" si="44"/>
        <v>183</v>
      </c>
      <c r="B184" t="s">
        <v>9</v>
      </c>
      <c r="C184" t="s">
        <v>21</v>
      </c>
      <c r="D184" t="s">
        <v>13</v>
      </c>
      <c r="E184" s="4">
        <v>18</v>
      </c>
      <c r="F184" s="4">
        <v>7</v>
      </c>
      <c r="G184" s="4">
        <v>6</v>
      </c>
      <c r="H184" s="4">
        <v>50</v>
      </c>
      <c r="I184" s="8">
        <f t="shared" si="45"/>
        <v>2.5714285714285716</v>
      </c>
      <c r="J184">
        <v>1</v>
      </c>
      <c r="K184">
        <f t="shared" si="39"/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</row>
    <row r="185" spans="1:31" x14ac:dyDescent="0.25">
      <c r="A185">
        <f t="shared" si="44"/>
        <v>184</v>
      </c>
      <c r="B185" t="s">
        <v>9</v>
      </c>
      <c r="C185" t="s">
        <v>20</v>
      </c>
      <c r="D185" t="s">
        <v>13</v>
      </c>
      <c r="E185" s="4">
        <v>15</v>
      </c>
      <c r="F185" s="4">
        <v>13</v>
      </c>
      <c r="G185" s="4">
        <v>2</v>
      </c>
      <c r="H185" s="4">
        <v>48</v>
      </c>
      <c r="I185" s="8">
        <f t="shared" si="45"/>
        <v>1.1538461538461537</v>
      </c>
      <c r="J185">
        <v>3</v>
      </c>
      <c r="K185">
        <f t="shared" si="39"/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</row>
    <row r="186" spans="1:31" x14ac:dyDescent="0.25">
      <c r="A186">
        <f t="shared" si="44"/>
        <v>185</v>
      </c>
      <c r="B186" t="s">
        <v>14</v>
      </c>
      <c r="C186" t="s">
        <v>61</v>
      </c>
      <c r="D186" t="s">
        <v>12</v>
      </c>
      <c r="E186" s="4">
        <v>7</v>
      </c>
      <c r="F186" s="4">
        <v>15</v>
      </c>
      <c r="G186" s="4">
        <v>4</v>
      </c>
      <c r="H186" s="4">
        <v>22</v>
      </c>
      <c r="I186" s="8">
        <f t="shared" si="45"/>
        <v>0.46666666666666667</v>
      </c>
      <c r="J186">
        <v>4</v>
      </c>
      <c r="K186">
        <f t="shared" si="39"/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</row>
    <row r="187" spans="1:31" x14ac:dyDescent="0.25">
      <c r="A187">
        <f t="shared" ref="A187:A196" si="46">ROW()-1</f>
        <v>186</v>
      </c>
      <c r="B187" t="s">
        <v>9</v>
      </c>
      <c r="C187" t="s">
        <v>93</v>
      </c>
      <c r="D187" t="s">
        <v>12</v>
      </c>
      <c r="E187" s="4">
        <v>12</v>
      </c>
      <c r="F187" s="4">
        <v>16</v>
      </c>
      <c r="G187" s="4">
        <v>3</v>
      </c>
      <c r="H187" s="4">
        <v>27</v>
      </c>
      <c r="I187" s="8">
        <f t="shared" ref="I187:I196" si="47">E187/F187</f>
        <v>0.75</v>
      </c>
      <c r="J187">
        <v>2</v>
      </c>
      <c r="K187">
        <f t="shared" ref="K187:K196" si="48">SUM(L187:AE187)</f>
        <v>4</v>
      </c>
      <c r="L187" s="4">
        <v>0</v>
      </c>
      <c r="M187" s="4">
        <v>0</v>
      </c>
      <c r="N187" s="4">
        <v>0</v>
      </c>
      <c r="O187" s="4">
        <v>0</v>
      </c>
      <c r="P187" s="4">
        <v>1</v>
      </c>
      <c r="Q187" s="4">
        <v>1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1</v>
      </c>
      <c r="AD187" s="4">
        <v>1</v>
      </c>
      <c r="AE187" s="4">
        <v>0</v>
      </c>
    </row>
    <row r="188" spans="1:31" x14ac:dyDescent="0.25">
      <c r="A188">
        <f t="shared" si="46"/>
        <v>187</v>
      </c>
      <c r="B188" t="s">
        <v>11</v>
      </c>
      <c r="C188" t="s">
        <v>27</v>
      </c>
      <c r="D188" t="s">
        <v>12</v>
      </c>
      <c r="E188" s="4">
        <v>16</v>
      </c>
      <c r="F188" s="4">
        <v>19</v>
      </c>
      <c r="G188" s="4">
        <v>1</v>
      </c>
      <c r="H188" s="4">
        <v>36</v>
      </c>
      <c r="I188" s="8">
        <f t="shared" si="47"/>
        <v>0.84210526315789469</v>
      </c>
      <c r="J188">
        <v>3</v>
      </c>
      <c r="K188">
        <f t="shared" si="48"/>
        <v>1</v>
      </c>
      <c r="L188" s="4">
        <v>0</v>
      </c>
      <c r="M188" s="4">
        <v>0</v>
      </c>
      <c r="N188" s="4">
        <v>0</v>
      </c>
      <c r="O188" s="4">
        <v>0</v>
      </c>
      <c r="P188" s="4">
        <v>1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</row>
    <row r="189" spans="1:31" x14ac:dyDescent="0.25">
      <c r="A189">
        <f t="shared" si="46"/>
        <v>188</v>
      </c>
      <c r="B189" t="s">
        <v>9</v>
      </c>
      <c r="C189" t="s">
        <v>44</v>
      </c>
      <c r="D189" t="s">
        <v>13</v>
      </c>
      <c r="E189" s="4">
        <v>18</v>
      </c>
      <c r="F189" s="4">
        <v>5</v>
      </c>
      <c r="G189" s="4">
        <v>5</v>
      </c>
      <c r="H189" s="4">
        <v>37</v>
      </c>
      <c r="I189" s="8">
        <f t="shared" si="47"/>
        <v>3.6</v>
      </c>
      <c r="J189">
        <v>2</v>
      </c>
      <c r="K189">
        <f t="shared" si="48"/>
        <v>4</v>
      </c>
      <c r="L189" s="4">
        <v>0</v>
      </c>
      <c r="M189" s="4">
        <v>0</v>
      </c>
      <c r="N189" s="4">
        <v>0</v>
      </c>
      <c r="O189" s="4">
        <v>0</v>
      </c>
      <c r="P189" s="4">
        <v>1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1</v>
      </c>
      <c r="Z189" s="4">
        <v>0</v>
      </c>
      <c r="AA189" s="4">
        <v>0</v>
      </c>
      <c r="AB189" s="4">
        <v>0</v>
      </c>
      <c r="AC189" s="4">
        <v>1</v>
      </c>
      <c r="AD189" s="4">
        <v>1</v>
      </c>
      <c r="AE189" s="4">
        <v>0</v>
      </c>
    </row>
    <row r="190" spans="1:31" x14ac:dyDescent="0.25">
      <c r="A190">
        <f t="shared" si="46"/>
        <v>189</v>
      </c>
      <c r="B190" t="s">
        <v>10</v>
      </c>
      <c r="C190" t="s">
        <v>74</v>
      </c>
      <c r="D190" t="s">
        <v>13</v>
      </c>
      <c r="E190" s="4">
        <v>37</v>
      </c>
      <c r="F190" s="4">
        <v>21</v>
      </c>
      <c r="G190" s="4">
        <v>6</v>
      </c>
      <c r="H190" s="4">
        <v>93</v>
      </c>
      <c r="I190" s="8">
        <f t="shared" si="47"/>
        <v>1.7619047619047619</v>
      </c>
      <c r="J190">
        <v>1</v>
      </c>
      <c r="K190">
        <f t="shared" si="48"/>
        <v>4</v>
      </c>
      <c r="L190" s="4">
        <v>0</v>
      </c>
      <c r="M190" s="4">
        <v>0</v>
      </c>
      <c r="N190" s="4">
        <v>0</v>
      </c>
      <c r="O190" s="4">
        <v>0</v>
      </c>
      <c r="P190" s="4">
        <v>1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1</v>
      </c>
      <c r="Z190" s="4">
        <v>0</v>
      </c>
      <c r="AA190" s="4">
        <v>0</v>
      </c>
      <c r="AB190" s="4">
        <v>0</v>
      </c>
      <c r="AC190" s="4">
        <v>1</v>
      </c>
      <c r="AD190" s="4">
        <v>1</v>
      </c>
      <c r="AE190" s="4">
        <v>0</v>
      </c>
    </row>
    <row r="191" spans="1:31" x14ac:dyDescent="0.25">
      <c r="A191">
        <f>ROW()-1</f>
        <v>190</v>
      </c>
      <c r="B191" t="s">
        <v>14</v>
      </c>
      <c r="C191" t="s">
        <v>94</v>
      </c>
      <c r="D191" t="s">
        <v>12</v>
      </c>
      <c r="E191" s="4">
        <v>7</v>
      </c>
      <c r="F191" s="4">
        <v>15</v>
      </c>
      <c r="G191" s="4">
        <v>1</v>
      </c>
      <c r="H191" s="4">
        <v>20</v>
      </c>
      <c r="I191" s="8">
        <f>E191/F191</f>
        <v>0.46666666666666667</v>
      </c>
      <c r="J191">
        <v>4</v>
      </c>
      <c r="K191">
        <f>SUM(L191:AE191)</f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</row>
    <row r="192" spans="1:31" x14ac:dyDescent="0.25">
      <c r="A192">
        <f t="shared" si="46"/>
        <v>191</v>
      </c>
      <c r="B192" t="s">
        <v>32</v>
      </c>
      <c r="C192" t="s">
        <v>29</v>
      </c>
      <c r="D192" t="s">
        <v>5</v>
      </c>
      <c r="E192" s="4">
        <v>25</v>
      </c>
      <c r="F192" s="4">
        <v>25</v>
      </c>
      <c r="G192" s="4">
        <v>7</v>
      </c>
      <c r="H192" s="4">
        <v>64</v>
      </c>
      <c r="I192" s="8">
        <f t="shared" si="47"/>
        <v>1</v>
      </c>
      <c r="J192">
        <v>2</v>
      </c>
      <c r="K192">
        <f t="shared" si="48"/>
        <v>1</v>
      </c>
      <c r="L192" s="4">
        <v>0</v>
      </c>
      <c r="M192" s="4">
        <v>0</v>
      </c>
      <c r="N192" s="4">
        <v>0</v>
      </c>
      <c r="O192" s="4">
        <v>0</v>
      </c>
      <c r="P192" s="4">
        <v>1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</row>
    <row r="193" spans="1:31" x14ac:dyDescent="0.25">
      <c r="A193">
        <f t="shared" si="46"/>
        <v>192</v>
      </c>
      <c r="B193" t="s">
        <v>14</v>
      </c>
      <c r="C193" t="s">
        <v>63</v>
      </c>
      <c r="D193" t="s">
        <v>12</v>
      </c>
      <c r="E193" s="4">
        <v>0</v>
      </c>
      <c r="F193" s="4">
        <v>16</v>
      </c>
      <c r="G193" s="4">
        <v>7</v>
      </c>
      <c r="H193" s="4">
        <v>6</v>
      </c>
      <c r="I193" s="8">
        <f t="shared" si="47"/>
        <v>0</v>
      </c>
      <c r="J193">
        <v>5</v>
      </c>
      <c r="K193">
        <f t="shared" si="48"/>
        <v>4</v>
      </c>
      <c r="L193" s="4">
        <v>1</v>
      </c>
      <c r="M193" s="4">
        <v>0</v>
      </c>
      <c r="N193" s="4">
        <v>1</v>
      </c>
      <c r="O193" s="4">
        <v>0</v>
      </c>
      <c r="P193" s="4">
        <v>1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1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</row>
    <row r="194" spans="1:31" x14ac:dyDescent="0.25">
      <c r="A194">
        <f t="shared" si="46"/>
        <v>193</v>
      </c>
      <c r="B194" t="s">
        <v>9</v>
      </c>
      <c r="C194" t="s">
        <v>27</v>
      </c>
      <c r="D194" t="s">
        <v>12</v>
      </c>
      <c r="E194" s="4">
        <v>18</v>
      </c>
      <c r="F194" s="4">
        <v>19</v>
      </c>
      <c r="G194" s="4">
        <v>7</v>
      </c>
      <c r="H194" s="4">
        <v>45</v>
      </c>
      <c r="I194" s="8">
        <f t="shared" si="47"/>
        <v>0.94736842105263153</v>
      </c>
      <c r="J194">
        <v>3</v>
      </c>
      <c r="K194">
        <f t="shared" si="48"/>
        <v>3</v>
      </c>
      <c r="L194" s="4">
        <v>1</v>
      </c>
      <c r="M194" s="4">
        <v>0</v>
      </c>
      <c r="N194" s="4">
        <v>1</v>
      </c>
      <c r="O194" s="4">
        <v>0</v>
      </c>
      <c r="P194" s="4">
        <v>1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</row>
    <row r="195" spans="1:31" x14ac:dyDescent="0.25">
      <c r="A195">
        <f t="shared" si="46"/>
        <v>194</v>
      </c>
      <c r="B195" t="s">
        <v>14</v>
      </c>
      <c r="C195" t="s">
        <v>16</v>
      </c>
      <c r="D195" t="s">
        <v>13</v>
      </c>
      <c r="E195" s="4">
        <v>13</v>
      </c>
      <c r="F195" s="4">
        <v>19</v>
      </c>
      <c r="G195" s="4">
        <v>5</v>
      </c>
      <c r="H195" s="4">
        <v>32</v>
      </c>
      <c r="I195" s="8">
        <f t="shared" si="47"/>
        <v>0.68421052631578949</v>
      </c>
      <c r="J195">
        <v>5</v>
      </c>
      <c r="K195">
        <f t="shared" si="48"/>
        <v>4</v>
      </c>
      <c r="L195" s="4">
        <v>1</v>
      </c>
      <c r="M195" s="4">
        <v>1</v>
      </c>
      <c r="N195" s="4">
        <v>1</v>
      </c>
      <c r="O195" s="4">
        <v>0</v>
      </c>
      <c r="P195" s="4">
        <v>1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</row>
    <row r="196" spans="1:31" x14ac:dyDescent="0.25">
      <c r="A196">
        <f t="shared" si="46"/>
        <v>195</v>
      </c>
      <c r="B196" t="s">
        <v>32</v>
      </c>
      <c r="C196" t="s">
        <v>34</v>
      </c>
      <c r="D196" t="s">
        <v>12</v>
      </c>
      <c r="E196" s="4">
        <v>22</v>
      </c>
      <c r="F196" s="4">
        <v>24</v>
      </c>
      <c r="G196" s="4">
        <v>8</v>
      </c>
      <c r="H196" s="4">
        <v>59</v>
      </c>
      <c r="I196" s="8">
        <f t="shared" si="47"/>
        <v>0.91666666666666663</v>
      </c>
      <c r="J196">
        <v>3</v>
      </c>
      <c r="K196">
        <f t="shared" si="48"/>
        <v>3</v>
      </c>
      <c r="L196" s="4">
        <v>1</v>
      </c>
      <c r="M196" s="4">
        <v>1</v>
      </c>
      <c r="N196" s="4">
        <v>1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</row>
    <row r="197" spans="1:31" x14ac:dyDescent="0.25">
      <c r="A197">
        <f t="shared" ref="A197:A206" si="49">ROW()-1</f>
        <v>196</v>
      </c>
      <c r="B197" t="s">
        <v>14</v>
      </c>
      <c r="C197" t="s">
        <v>19</v>
      </c>
      <c r="D197" t="s">
        <v>13</v>
      </c>
      <c r="E197" s="4">
        <v>13</v>
      </c>
      <c r="F197" s="4">
        <v>21</v>
      </c>
      <c r="G197" s="4">
        <v>6</v>
      </c>
      <c r="H197" s="4">
        <v>36</v>
      </c>
      <c r="I197" s="8">
        <f t="shared" ref="I197:I206" si="50">E197/F197</f>
        <v>0.61904761904761907</v>
      </c>
      <c r="J197">
        <v>5</v>
      </c>
      <c r="K197">
        <f t="shared" ref="K197:K206" si="51">SUM(L197:AE197)</f>
        <v>1</v>
      </c>
      <c r="L197" s="4">
        <v>0</v>
      </c>
      <c r="M197" s="4">
        <v>0</v>
      </c>
      <c r="N197" s="4">
        <v>1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</row>
    <row r="198" spans="1:31" x14ac:dyDescent="0.25">
      <c r="A198">
        <f t="shared" si="49"/>
        <v>197</v>
      </c>
      <c r="B198" t="s">
        <v>14</v>
      </c>
      <c r="C198" t="s">
        <v>20</v>
      </c>
      <c r="D198" t="s">
        <v>13</v>
      </c>
      <c r="E198" s="4">
        <v>19</v>
      </c>
      <c r="F198" s="4">
        <v>14</v>
      </c>
      <c r="G198" s="4">
        <v>4</v>
      </c>
      <c r="H198" s="4">
        <v>47</v>
      </c>
      <c r="I198" s="8">
        <f t="shared" si="50"/>
        <v>1.3571428571428572</v>
      </c>
      <c r="J198">
        <v>3</v>
      </c>
      <c r="K198">
        <f t="shared" si="51"/>
        <v>4</v>
      </c>
      <c r="L198" s="4">
        <v>1</v>
      </c>
      <c r="M198" s="4">
        <v>1</v>
      </c>
      <c r="N198" s="4">
        <v>1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</row>
    <row r="199" spans="1:31" x14ac:dyDescent="0.25">
      <c r="A199">
        <f t="shared" si="49"/>
        <v>198</v>
      </c>
      <c r="B199" t="s">
        <v>28</v>
      </c>
      <c r="C199" t="s">
        <v>19</v>
      </c>
      <c r="D199" t="s">
        <v>13</v>
      </c>
      <c r="E199" s="4">
        <v>12</v>
      </c>
      <c r="F199" s="4">
        <v>19</v>
      </c>
      <c r="G199" s="4">
        <v>9</v>
      </c>
      <c r="H199" s="4">
        <v>41</v>
      </c>
      <c r="I199" s="8">
        <f t="shared" si="50"/>
        <v>0.63157894736842102</v>
      </c>
      <c r="J199">
        <v>3</v>
      </c>
      <c r="K199">
        <f t="shared" si="51"/>
        <v>4</v>
      </c>
      <c r="L199" s="4">
        <v>1</v>
      </c>
      <c r="M199" s="4">
        <v>1</v>
      </c>
      <c r="N199" s="4">
        <v>1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</row>
    <row r="200" spans="1:31" x14ac:dyDescent="0.25">
      <c r="A200">
        <f t="shared" si="49"/>
        <v>199</v>
      </c>
      <c r="B200" t="s">
        <v>9</v>
      </c>
      <c r="C200" t="s">
        <v>64</v>
      </c>
      <c r="D200" t="s">
        <v>12</v>
      </c>
      <c r="E200" s="4">
        <v>10</v>
      </c>
      <c r="F200" s="4">
        <v>19</v>
      </c>
      <c r="G200" s="4">
        <v>4</v>
      </c>
      <c r="H200" s="4">
        <v>56</v>
      </c>
      <c r="I200" s="8">
        <f t="shared" si="50"/>
        <v>0.52631578947368418</v>
      </c>
      <c r="J200">
        <v>1</v>
      </c>
      <c r="K200">
        <f t="shared" si="51"/>
        <v>3</v>
      </c>
      <c r="L200" s="4">
        <v>0</v>
      </c>
      <c r="M200" s="4">
        <v>1</v>
      </c>
      <c r="N200" s="4">
        <v>1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</row>
    <row r="201" spans="1:31" x14ac:dyDescent="0.25">
      <c r="A201">
        <f t="shared" si="49"/>
        <v>200</v>
      </c>
      <c r="B201" t="s">
        <v>14</v>
      </c>
      <c r="C201" t="s">
        <v>74</v>
      </c>
      <c r="D201" t="s">
        <v>13</v>
      </c>
      <c r="E201" s="4">
        <v>20</v>
      </c>
      <c r="F201" s="4">
        <v>24</v>
      </c>
      <c r="G201" s="4">
        <v>10</v>
      </c>
      <c r="H201" s="4">
        <v>55</v>
      </c>
      <c r="I201" s="8">
        <f t="shared" si="50"/>
        <v>0.83333333333333337</v>
      </c>
      <c r="J201">
        <v>3</v>
      </c>
      <c r="K201">
        <f t="shared" si="51"/>
        <v>3</v>
      </c>
      <c r="L201" s="4">
        <v>0</v>
      </c>
      <c r="M201" s="4">
        <v>1</v>
      </c>
      <c r="N201" s="4">
        <v>1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</row>
    <row r="202" spans="1:31" x14ac:dyDescent="0.25">
      <c r="A202">
        <f t="shared" si="49"/>
        <v>201</v>
      </c>
      <c r="B202" t="s">
        <v>9</v>
      </c>
      <c r="C202" t="s">
        <v>63</v>
      </c>
      <c r="D202" t="s">
        <v>12</v>
      </c>
      <c r="E202" s="4">
        <v>6</v>
      </c>
      <c r="F202" s="4">
        <v>14</v>
      </c>
      <c r="G202" s="4">
        <v>4</v>
      </c>
      <c r="H202" s="4">
        <v>22</v>
      </c>
      <c r="I202" s="8">
        <f t="shared" si="50"/>
        <v>0.42857142857142855</v>
      </c>
      <c r="J202">
        <v>2</v>
      </c>
      <c r="K202">
        <f t="shared" si="51"/>
        <v>1</v>
      </c>
      <c r="L202" s="4">
        <v>0</v>
      </c>
      <c r="M202" s="4">
        <v>0</v>
      </c>
      <c r="N202" s="4">
        <v>0</v>
      </c>
      <c r="O202" s="4">
        <v>0</v>
      </c>
      <c r="P202" s="4">
        <v>1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</row>
    <row r="203" spans="1:31" x14ac:dyDescent="0.25">
      <c r="A203">
        <f t="shared" si="49"/>
        <v>202</v>
      </c>
      <c r="B203" t="s">
        <v>11</v>
      </c>
      <c r="C203" t="s">
        <v>66</v>
      </c>
      <c r="D203" t="s">
        <v>13</v>
      </c>
      <c r="E203" s="4">
        <v>18</v>
      </c>
      <c r="F203" s="4">
        <v>7</v>
      </c>
      <c r="G203" s="4">
        <v>5</v>
      </c>
      <c r="H203" s="4">
        <v>42</v>
      </c>
      <c r="I203" s="8">
        <f t="shared" si="50"/>
        <v>2.5714285714285716</v>
      </c>
      <c r="J203">
        <v>2</v>
      </c>
      <c r="K203">
        <f t="shared" si="51"/>
        <v>1</v>
      </c>
      <c r="L203" s="4">
        <v>0</v>
      </c>
      <c r="M203" s="4">
        <v>0</v>
      </c>
      <c r="N203" s="4">
        <v>0</v>
      </c>
      <c r="O203" s="4">
        <v>0</v>
      </c>
      <c r="P203" s="4">
        <v>1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</row>
    <row r="204" spans="1:31" x14ac:dyDescent="0.25">
      <c r="A204">
        <f t="shared" si="49"/>
        <v>203</v>
      </c>
      <c r="B204" t="s">
        <v>10</v>
      </c>
      <c r="C204" t="s">
        <v>17</v>
      </c>
      <c r="D204" t="s">
        <v>12</v>
      </c>
      <c r="E204" s="4">
        <v>15</v>
      </c>
      <c r="F204" s="4">
        <v>20</v>
      </c>
      <c r="G204" s="4">
        <v>2</v>
      </c>
      <c r="H204" s="4">
        <v>38</v>
      </c>
      <c r="I204" s="8">
        <f t="shared" si="50"/>
        <v>0.75</v>
      </c>
      <c r="J204">
        <v>4</v>
      </c>
      <c r="K204">
        <f t="shared" si="51"/>
        <v>1</v>
      </c>
      <c r="L204" s="4">
        <v>0</v>
      </c>
      <c r="M204" s="4">
        <v>0</v>
      </c>
      <c r="N204" s="4">
        <v>0</v>
      </c>
      <c r="O204" s="4">
        <v>0</v>
      </c>
      <c r="P204" s="4">
        <v>1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</row>
    <row r="205" spans="1:31" x14ac:dyDescent="0.25">
      <c r="A205">
        <f t="shared" si="49"/>
        <v>204</v>
      </c>
      <c r="B205" t="s">
        <v>9</v>
      </c>
      <c r="C205" t="s">
        <v>64</v>
      </c>
      <c r="D205" t="s">
        <v>12</v>
      </c>
      <c r="E205" s="4">
        <v>8</v>
      </c>
      <c r="F205" s="4">
        <v>17</v>
      </c>
      <c r="G205" s="4">
        <v>4</v>
      </c>
      <c r="H205" s="4">
        <v>22</v>
      </c>
      <c r="I205" s="8">
        <f t="shared" si="50"/>
        <v>0.47058823529411764</v>
      </c>
      <c r="J205">
        <v>5</v>
      </c>
      <c r="K205">
        <f t="shared" si="51"/>
        <v>2</v>
      </c>
      <c r="L205" s="4">
        <v>0</v>
      </c>
      <c r="M205" s="4">
        <v>0</v>
      </c>
      <c r="N205" s="4">
        <v>0</v>
      </c>
      <c r="O205" s="4">
        <v>0</v>
      </c>
      <c r="P205" s="4">
        <v>1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1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</row>
    <row r="206" spans="1:31" x14ac:dyDescent="0.25">
      <c r="A206">
        <f t="shared" si="49"/>
        <v>205</v>
      </c>
      <c r="B206" t="s">
        <v>11</v>
      </c>
      <c r="C206" t="s">
        <v>23</v>
      </c>
      <c r="D206" t="s">
        <v>12</v>
      </c>
      <c r="E206" s="4">
        <v>16</v>
      </c>
      <c r="F206" s="4">
        <v>18</v>
      </c>
      <c r="G206" s="4">
        <v>4</v>
      </c>
      <c r="H206" s="4">
        <v>34</v>
      </c>
      <c r="I206" s="8">
        <f t="shared" si="50"/>
        <v>0.88888888888888884</v>
      </c>
      <c r="J206">
        <v>2</v>
      </c>
      <c r="K206">
        <f t="shared" si="51"/>
        <v>1</v>
      </c>
      <c r="L206" s="4">
        <v>0</v>
      </c>
      <c r="M206" s="4">
        <v>0</v>
      </c>
      <c r="N206" s="4">
        <v>0</v>
      </c>
      <c r="O206" s="4">
        <v>0</v>
      </c>
      <c r="P206" s="4">
        <v>1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</row>
    <row r="207" spans="1:31" x14ac:dyDescent="0.25">
      <c r="A207">
        <f t="shared" ref="A207:A212" si="52">ROW()-1</f>
        <v>206</v>
      </c>
      <c r="B207" t="s">
        <v>14</v>
      </c>
      <c r="C207" t="s">
        <v>16</v>
      </c>
      <c r="D207" t="s">
        <v>13</v>
      </c>
      <c r="E207" s="4">
        <v>20</v>
      </c>
      <c r="F207" s="4">
        <v>19</v>
      </c>
      <c r="G207" s="4">
        <v>8</v>
      </c>
      <c r="H207" s="4">
        <v>52</v>
      </c>
      <c r="I207" s="8">
        <f t="shared" ref="I207:I212" si="53">E207/F207</f>
        <v>1.0526315789473684</v>
      </c>
      <c r="J207">
        <v>1</v>
      </c>
      <c r="K207">
        <f t="shared" ref="K207:K212" si="54">SUM(L207:AE207)</f>
        <v>1</v>
      </c>
      <c r="L207" s="4">
        <v>0</v>
      </c>
      <c r="M207" s="4">
        <v>1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</row>
    <row r="208" spans="1:31" x14ac:dyDescent="0.25">
      <c r="A208">
        <f t="shared" si="52"/>
        <v>207</v>
      </c>
      <c r="B208" t="s">
        <v>28</v>
      </c>
      <c r="C208" t="s">
        <v>44</v>
      </c>
      <c r="D208" t="s">
        <v>13</v>
      </c>
      <c r="E208" s="4">
        <v>14</v>
      </c>
      <c r="F208" s="4">
        <v>8</v>
      </c>
      <c r="G208" s="4">
        <v>6</v>
      </c>
      <c r="H208" s="4">
        <v>36</v>
      </c>
      <c r="I208" s="8">
        <f t="shared" si="53"/>
        <v>1.75</v>
      </c>
      <c r="J208">
        <v>2</v>
      </c>
      <c r="K208">
        <f t="shared" si="54"/>
        <v>2</v>
      </c>
      <c r="L208" s="4">
        <v>1</v>
      </c>
      <c r="M208" s="4">
        <v>1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</row>
    <row r="209" spans="1:31" x14ac:dyDescent="0.25">
      <c r="A209">
        <f t="shared" si="52"/>
        <v>208</v>
      </c>
      <c r="B209" t="s">
        <v>10</v>
      </c>
      <c r="C209" t="s">
        <v>31</v>
      </c>
      <c r="D209" t="s">
        <v>13</v>
      </c>
      <c r="E209" s="4">
        <v>18</v>
      </c>
      <c r="F209" s="4">
        <v>11</v>
      </c>
      <c r="G209" s="4">
        <v>6</v>
      </c>
      <c r="H209" s="4">
        <v>49</v>
      </c>
      <c r="I209" s="8">
        <f t="shared" si="53"/>
        <v>1.6363636363636365</v>
      </c>
      <c r="J209">
        <v>3</v>
      </c>
      <c r="K209">
        <f t="shared" si="54"/>
        <v>4</v>
      </c>
      <c r="L209" s="4">
        <v>1</v>
      </c>
      <c r="M209" s="4">
        <v>1</v>
      </c>
      <c r="N209" s="4">
        <v>0</v>
      </c>
      <c r="O209" s="4">
        <v>0</v>
      </c>
      <c r="P209" s="4">
        <v>1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1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</row>
    <row r="210" spans="1:31" x14ac:dyDescent="0.25">
      <c r="A210">
        <f t="shared" si="52"/>
        <v>209</v>
      </c>
      <c r="B210" t="s">
        <v>14</v>
      </c>
      <c r="C210" t="s">
        <v>20</v>
      </c>
      <c r="D210" t="s">
        <v>13</v>
      </c>
      <c r="E210" s="4">
        <v>10</v>
      </c>
      <c r="F210" s="4">
        <v>18</v>
      </c>
      <c r="G210" s="4">
        <v>7</v>
      </c>
      <c r="H210" s="4">
        <v>33</v>
      </c>
      <c r="I210" s="8">
        <f t="shared" si="53"/>
        <v>0.55555555555555558</v>
      </c>
      <c r="J210">
        <v>5</v>
      </c>
      <c r="K210">
        <f t="shared" si="54"/>
        <v>4</v>
      </c>
      <c r="L210" s="4">
        <v>1</v>
      </c>
      <c r="M210" s="4">
        <v>1</v>
      </c>
      <c r="N210" s="4">
        <v>1</v>
      </c>
      <c r="O210" s="4">
        <v>0</v>
      </c>
      <c r="P210" s="4">
        <v>1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</row>
    <row r="211" spans="1:31" x14ac:dyDescent="0.25">
      <c r="A211">
        <f t="shared" si="52"/>
        <v>210</v>
      </c>
      <c r="B211" t="s">
        <v>14</v>
      </c>
      <c r="C211" t="s">
        <v>57</v>
      </c>
      <c r="D211" t="s">
        <v>13</v>
      </c>
      <c r="E211" s="4">
        <v>14</v>
      </c>
      <c r="F211" s="4">
        <v>18</v>
      </c>
      <c r="G211" s="4">
        <v>4</v>
      </c>
      <c r="H211" s="4">
        <v>39</v>
      </c>
      <c r="I211" s="8">
        <f t="shared" si="53"/>
        <v>0.77777777777777779</v>
      </c>
      <c r="J211">
        <v>4</v>
      </c>
      <c r="K211">
        <f t="shared" si="54"/>
        <v>4</v>
      </c>
      <c r="L211" s="4">
        <v>1</v>
      </c>
      <c r="M211" s="4">
        <v>1</v>
      </c>
      <c r="N211" s="4">
        <v>1</v>
      </c>
      <c r="O211" s="4">
        <v>0</v>
      </c>
      <c r="P211" s="4">
        <v>1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</row>
    <row r="212" spans="1:31" x14ac:dyDescent="0.25">
      <c r="A212">
        <f t="shared" si="52"/>
        <v>211</v>
      </c>
      <c r="B212" t="s">
        <v>28</v>
      </c>
      <c r="C212" t="s">
        <v>17</v>
      </c>
      <c r="D212" t="s">
        <v>12</v>
      </c>
      <c r="E212" s="4">
        <v>9</v>
      </c>
      <c r="F212" s="4">
        <v>18</v>
      </c>
      <c r="G212" s="4">
        <v>8</v>
      </c>
      <c r="H212" s="4">
        <v>25</v>
      </c>
      <c r="I212" s="8">
        <f t="shared" si="53"/>
        <v>0.5</v>
      </c>
      <c r="J212">
        <v>5</v>
      </c>
      <c r="K212">
        <f t="shared" si="54"/>
        <v>4</v>
      </c>
      <c r="L212" s="4">
        <v>1</v>
      </c>
      <c r="M212" s="4">
        <v>1</v>
      </c>
      <c r="N212" s="4">
        <v>1</v>
      </c>
      <c r="O212" s="4">
        <v>0</v>
      </c>
      <c r="P212" s="4">
        <v>1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</row>
    <row r="213" spans="1:31" x14ac:dyDescent="0.25">
      <c r="A213">
        <f t="shared" ref="A213:A219" si="55">ROW()-1</f>
        <v>212</v>
      </c>
      <c r="B213" t="s">
        <v>32</v>
      </c>
      <c r="C213" t="s">
        <v>16</v>
      </c>
      <c r="D213" t="s">
        <v>13</v>
      </c>
      <c r="E213" s="4">
        <v>20</v>
      </c>
      <c r="F213" s="4">
        <v>16</v>
      </c>
      <c r="G213" s="4">
        <v>5</v>
      </c>
      <c r="H213" s="4">
        <v>60</v>
      </c>
      <c r="I213" s="8">
        <f t="shared" ref="I213:I219" si="56">E213/F213</f>
        <v>1.25</v>
      </c>
      <c r="J213">
        <v>1</v>
      </c>
      <c r="K213">
        <f t="shared" ref="K213:K219" si="57">SUM(L213:AE213)</f>
        <v>3</v>
      </c>
      <c r="L213" s="4">
        <v>0</v>
      </c>
      <c r="M213" s="4">
        <v>1</v>
      </c>
      <c r="N213" s="4">
        <v>1</v>
      </c>
      <c r="O213" s="4">
        <v>0</v>
      </c>
      <c r="P213" s="4">
        <v>1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</row>
    <row r="214" spans="1:31" x14ac:dyDescent="0.25">
      <c r="A214">
        <f t="shared" si="55"/>
        <v>213</v>
      </c>
      <c r="B214" t="s">
        <v>32</v>
      </c>
      <c r="C214" t="s">
        <v>16</v>
      </c>
      <c r="D214" t="s">
        <v>13</v>
      </c>
      <c r="E214" s="4">
        <v>15</v>
      </c>
      <c r="F214" s="4">
        <v>17</v>
      </c>
      <c r="G214" s="4">
        <v>8</v>
      </c>
      <c r="H214" s="4">
        <v>46</v>
      </c>
      <c r="I214" s="8">
        <f t="shared" si="56"/>
        <v>0.88235294117647056</v>
      </c>
      <c r="J214">
        <v>3</v>
      </c>
      <c r="K214">
        <f t="shared" si="57"/>
        <v>3</v>
      </c>
      <c r="L214" s="4">
        <v>0</v>
      </c>
      <c r="M214" s="4">
        <v>1</v>
      </c>
      <c r="N214" s="4">
        <v>1</v>
      </c>
      <c r="O214" s="4">
        <v>0</v>
      </c>
      <c r="P214" s="4">
        <v>1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</row>
    <row r="215" spans="1:31" x14ac:dyDescent="0.25">
      <c r="A215">
        <f t="shared" si="55"/>
        <v>214</v>
      </c>
      <c r="B215" t="s">
        <v>9</v>
      </c>
      <c r="C215" t="s">
        <v>21</v>
      </c>
      <c r="D215" t="s">
        <v>13</v>
      </c>
      <c r="E215" s="4">
        <v>20</v>
      </c>
      <c r="F215" s="4">
        <v>10</v>
      </c>
      <c r="G215" s="4">
        <v>4</v>
      </c>
      <c r="H215" s="4">
        <v>63</v>
      </c>
      <c r="I215" s="8">
        <f t="shared" si="56"/>
        <v>2</v>
      </c>
      <c r="J215">
        <v>1</v>
      </c>
      <c r="K215">
        <f t="shared" si="57"/>
        <v>2</v>
      </c>
      <c r="L215" s="4">
        <v>0</v>
      </c>
      <c r="M215" s="4">
        <v>1</v>
      </c>
      <c r="N215" s="4">
        <v>1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</row>
    <row r="216" spans="1:31" x14ac:dyDescent="0.25">
      <c r="A216">
        <f t="shared" si="55"/>
        <v>215</v>
      </c>
      <c r="B216" t="s">
        <v>14</v>
      </c>
      <c r="C216" t="s">
        <v>16</v>
      </c>
      <c r="D216" t="s">
        <v>13</v>
      </c>
      <c r="E216" s="4">
        <v>18</v>
      </c>
      <c r="F216" s="4">
        <v>21</v>
      </c>
      <c r="G216" s="4">
        <v>3</v>
      </c>
      <c r="H216" s="4">
        <v>44</v>
      </c>
      <c r="I216" s="8">
        <f t="shared" si="56"/>
        <v>0.8571428571428571</v>
      </c>
      <c r="J216">
        <v>4</v>
      </c>
      <c r="K216">
        <f t="shared" si="57"/>
        <v>3</v>
      </c>
      <c r="L216" s="4">
        <v>0</v>
      </c>
      <c r="M216" s="4">
        <v>1</v>
      </c>
      <c r="N216" s="4">
        <v>1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1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</row>
    <row r="217" spans="1:31" x14ac:dyDescent="0.25">
      <c r="A217">
        <f t="shared" si="55"/>
        <v>216</v>
      </c>
      <c r="B217" t="s">
        <v>10</v>
      </c>
      <c r="C217" t="s">
        <v>18</v>
      </c>
      <c r="D217" t="s">
        <v>13</v>
      </c>
      <c r="E217" s="4">
        <v>15</v>
      </c>
      <c r="F217" s="4">
        <v>9</v>
      </c>
      <c r="G217" s="4">
        <v>2</v>
      </c>
      <c r="H217" s="4">
        <v>35</v>
      </c>
      <c r="I217" s="8">
        <f t="shared" si="56"/>
        <v>1.6666666666666667</v>
      </c>
      <c r="J217">
        <v>3</v>
      </c>
      <c r="K217">
        <f t="shared" si="57"/>
        <v>3</v>
      </c>
      <c r="L217" s="4">
        <v>0</v>
      </c>
      <c r="M217" s="4">
        <v>1</v>
      </c>
      <c r="N217" s="4">
        <v>1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1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</row>
    <row r="218" spans="1:31" x14ac:dyDescent="0.25">
      <c r="A218">
        <f t="shared" si="55"/>
        <v>217</v>
      </c>
      <c r="B218" t="s">
        <v>14</v>
      </c>
      <c r="C218" t="s">
        <v>27</v>
      </c>
      <c r="D218" t="s">
        <v>12</v>
      </c>
      <c r="E218" s="4">
        <v>14</v>
      </c>
      <c r="F218" s="4">
        <v>16</v>
      </c>
      <c r="G218" s="4">
        <v>2</v>
      </c>
      <c r="H218" s="4">
        <v>38</v>
      </c>
      <c r="I218" s="8">
        <f t="shared" si="56"/>
        <v>0.875</v>
      </c>
      <c r="J218">
        <v>3</v>
      </c>
      <c r="K218">
        <f t="shared" si="57"/>
        <v>3</v>
      </c>
      <c r="L218" s="4">
        <v>1</v>
      </c>
      <c r="M218" s="4">
        <v>0</v>
      </c>
      <c r="N218" s="4">
        <v>1</v>
      </c>
      <c r="O218" s="4">
        <v>0</v>
      </c>
      <c r="P218" s="4">
        <v>1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</row>
    <row r="219" spans="1:31" x14ac:dyDescent="0.25">
      <c r="A219">
        <f t="shared" si="55"/>
        <v>218</v>
      </c>
      <c r="B219" t="s">
        <v>9</v>
      </c>
      <c r="C219" t="s">
        <v>27</v>
      </c>
      <c r="D219" t="s">
        <v>12</v>
      </c>
      <c r="E219" s="4">
        <v>21</v>
      </c>
      <c r="F219" s="4">
        <v>17</v>
      </c>
      <c r="G219" s="4">
        <v>0</v>
      </c>
      <c r="H219" s="4">
        <v>43</v>
      </c>
      <c r="I219" s="8">
        <f t="shared" si="56"/>
        <v>1.2352941176470589</v>
      </c>
      <c r="J219">
        <v>2</v>
      </c>
      <c r="K219">
        <f t="shared" si="57"/>
        <v>1</v>
      </c>
      <c r="L219" s="4">
        <v>0</v>
      </c>
      <c r="M219" s="4">
        <v>0</v>
      </c>
      <c r="N219" s="4">
        <v>1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</row>
    <row r="220" spans="1:31" x14ac:dyDescent="0.25">
      <c r="A220">
        <f t="shared" ref="A220:A225" si="58">ROW()-1</f>
        <v>219</v>
      </c>
      <c r="B220" t="s">
        <v>14</v>
      </c>
      <c r="C220" t="s">
        <v>64</v>
      </c>
      <c r="D220" t="s">
        <v>12</v>
      </c>
      <c r="E220" s="4">
        <v>10</v>
      </c>
      <c r="F220" s="4">
        <v>18</v>
      </c>
      <c r="G220" s="4">
        <v>4</v>
      </c>
      <c r="H220" s="4">
        <v>23</v>
      </c>
      <c r="I220" s="8">
        <f t="shared" ref="I220:I225" si="59">E220/F220</f>
        <v>0.55555555555555558</v>
      </c>
      <c r="J220">
        <v>5</v>
      </c>
      <c r="K220">
        <f t="shared" ref="K220:K225" si="60">SUM(L220:AE220)</f>
        <v>2</v>
      </c>
      <c r="L220" s="4">
        <v>0</v>
      </c>
      <c r="M220" s="4">
        <v>0</v>
      </c>
      <c r="N220" s="4">
        <v>1</v>
      </c>
      <c r="O220" s="4">
        <v>0</v>
      </c>
      <c r="P220" s="4">
        <v>1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</row>
    <row r="221" spans="1:31" x14ac:dyDescent="0.25">
      <c r="A221">
        <f t="shared" si="58"/>
        <v>220</v>
      </c>
      <c r="B221" t="s">
        <v>9</v>
      </c>
      <c r="C221" t="s">
        <v>33</v>
      </c>
      <c r="D221" t="s">
        <v>12</v>
      </c>
      <c r="E221" s="4">
        <v>10</v>
      </c>
      <c r="F221" s="4">
        <v>18</v>
      </c>
      <c r="G221" s="4">
        <v>6</v>
      </c>
      <c r="H221" s="4">
        <v>28</v>
      </c>
      <c r="I221" s="8">
        <f t="shared" si="59"/>
        <v>0.55555555555555558</v>
      </c>
      <c r="J221">
        <v>5</v>
      </c>
      <c r="K221">
        <f t="shared" si="60"/>
        <v>1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1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</row>
    <row r="222" spans="1:31" x14ac:dyDescent="0.25">
      <c r="A222">
        <f t="shared" si="58"/>
        <v>221</v>
      </c>
      <c r="B222" t="s">
        <v>14</v>
      </c>
      <c r="C222" t="s">
        <v>64</v>
      </c>
      <c r="D222" t="s">
        <v>12</v>
      </c>
      <c r="E222" s="4">
        <v>14</v>
      </c>
      <c r="F222" s="4">
        <v>15</v>
      </c>
      <c r="G222" s="4">
        <v>2</v>
      </c>
      <c r="H222" s="4">
        <v>41</v>
      </c>
      <c r="I222" s="8">
        <f t="shared" si="59"/>
        <v>0.93333333333333335</v>
      </c>
      <c r="J222">
        <v>2</v>
      </c>
      <c r="K222">
        <f t="shared" si="60"/>
        <v>1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1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</row>
    <row r="223" spans="1:31" x14ac:dyDescent="0.25">
      <c r="A223">
        <f t="shared" si="58"/>
        <v>222</v>
      </c>
      <c r="B223" t="s">
        <v>11</v>
      </c>
      <c r="C223" t="s">
        <v>19</v>
      </c>
      <c r="D223" t="s">
        <v>13</v>
      </c>
      <c r="E223" s="4">
        <v>17</v>
      </c>
      <c r="F223" s="4">
        <v>12</v>
      </c>
      <c r="G223" s="4">
        <v>2</v>
      </c>
      <c r="H223" s="4">
        <v>38</v>
      </c>
      <c r="I223" s="8">
        <f t="shared" si="59"/>
        <v>1.4166666666666667</v>
      </c>
      <c r="J223">
        <v>3</v>
      </c>
      <c r="K223">
        <f t="shared" si="60"/>
        <v>1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1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</row>
    <row r="224" spans="1:31" x14ac:dyDescent="0.25">
      <c r="A224">
        <f t="shared" si="58"/>
        <v>223</v>
      </c>
      <c r="B224" t="s">
        <v>10</v>
      </c>
      <c r="C224" t="s">
        <v>33</v>
      </c>
      <c r="D224" t="s">
        <v>12</v>
      </c>
      <c r="E224" s="4">
        <v>8</v>
      </c>
      <c r="F224" s="4">
        <v>21</v>
      </c>
      <c r="G224" s="4">
        <v>6</v>
      </c>
      <c r="H224" s="4">
        <v>23</v>
      </c>
      <c r="I224" s="8">
        <f t="shared" si="59"/>
        <v>0.38095238095238093</v>
      </c>
      <c r="J224">
        <v>5</v>
      </c>
      <c r="K224">
        <f t="shared" si="60"/>
        <v>1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1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</row>
    <row r="225" spans="1:31" x14ac:dyDescent="0.25">
      <c r="A225">
        <f t="shared" si="58"/>
        <v>224</v>
      </c>
      <c r="B225" t="s">
        <v>32</v>
      </c>
      <c r="C225" t="s">
        <v>29</v>
      </c>
      <c r="D225" t="s">
        <v>5</v>
      </c>
      <c r="E225" s="4">
        <v>17</v>
      </c>
      <c r="F225" s="4">
        <v>24</v>
      </c>
      <c r="G225" s="4">
        <v>9</v>
      </c>
      <c r="H225" s="4">
        <v>49</v>
      </c>
      <c r="I225" s="8">
        <f t="shared" si="59"/>
        <v>0.70833333333333337</v>
      </c>
      <c r="J225">
        <v>4</v>
      </c>
      <c r="K225">
        <f t="shared" si="60"/>
        <v>1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1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</row>
    <row r="226" spans="1:31" x14ac:dyDescent="0.25">
      <c r="A226" s="13">
        <f>ROW()-1</f>
        <v>225</v>
      </c>
      <c r="B226" t="s">
        <v>32</v>
      </c>
      <c r="C226" t="s">
        <v>16</v>
      </c>
      <c r="D226" t="s">
        <v>13</v>
      </c>
      <c r="E226" s="4">
        <v>13</v>
      </c>
      <c r="F226" s="4">
        <v>16</v>
      </c>
      <c r="G226" s="4">
        <v>5</v>
      </c>
      <c r="H226" s="4">
        <v>28</v>
      </c>
      <c r="I226" s="8">
        <f>E226/F226</f>
        <v>0.8125</v>
      </c>
      <c r="J226">
        <v>4</v>
      </c>
      <c r="K226">
        <f>SUM(L226:AE226)</f>
        <v>4</v>
      </c>
      <c r="L226" s="4">
        <v>1</v>
      </c>
      <c r="M226" s="4">
        <v>1</v>
      </c>
      <c r="N226" s="4">
        <v>1</v>
      </c>
      <c r="O226" s="4">
        <v>0</v>
      </c>
      <c r="P226" s="4">
        <v>1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</row>
    <row r="227" spans="1:31" x14ac:dyDescent="0.25">
      <c r="A227" s="13">
        <f>ROW()-1</f>
        <v>226</v>
      </c>
      <c r="B227" t="s">
        <v>28</v>
      </c>
      <c r="C227" t="s">
        <v>61</v>
      </c>
      <c r="D227" t="s">
        <v>12</v>
      </c>
      <c r="E227" s="4">
        <v>11</v>
      </c>
      <c r="F227" s="4">
        <v>15</v>
      </c>
      <c r="G227" s="4">
        <v>2</v>
      </c>
      <c r="H227" s="4">
        <v>34</v>
      </c>
      <c r="I227" s="8">
        <f>E227/F227</f>
        <v>0.73333333333333328</v>
      </c>
      <c r="J227">
        <v>1</v>
      </c>
      <c r="K227">
        <f>SUM(L227:AE227)</f>
        <v>4</v>
      </c>
      <c r="L227" s="4">
        <v>1</v>
      </c>
      <c r="M227" s="4">
        <v>1</v>
      </c>
      <c r="N227" s="4">
        <v>1</v>
      </c>
      <c r="O227" s="4">
        <v>0</v>
      </c>
      <c r="P227" s="4">
        <v>1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</row>
    <row r="228" spans="1:31" x14ac:dyDescent="0.25">
      <c r="A228" s="13">
        <f>ROW()-1</f>
        <v>227</v>
      </c>
      <c r="B228" t="s">
        <v>14</v>
      </c>
      <c r="C228" t="s">
        <v>23</v>
      </c>
      <c r="D228" t="s">
        <v>12</v>
      </c>
      <c r="E228" s="4">
        <v>18</v>
      </c>
      <c r="F228" s="4">
        <v>17</v>
      </c>
      <c r="G228" s="4">
        <v>3</v>
      </c>
      <c r="H228" s="4">
        <v>46</v>
      </c>
      <c r="I228" s="8">
        <f>E228/F228</f>
        <v>1.0588235294117647</v>
      </c>
      <c r="J228">
        <v>1</v>
      </c>
      <c r="K228">
        <f>SUM(L228:AE228)</f>
        <v>4</v>
      </c>
      <c r="L228" s="4">
        <v>1</v>
      </c>
      <c r="M228" s="4">
        <v>1</v>
      </c>
      <c r="N228" s="4">
        <v>1</v>
      </c>
      <c r="O228" s="4">
        <v>0</v>
      </c>
      <c r="P228" s="4">
        <v>1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</row>
    <row r="229" spans="1:31" x14ac:dyDescent="0.25">
      <c r="A229" s="13">
        <f>ROW()-1</f>
        <v>228</v>
      </c>
      <c r="B229" t="s">
        <v>10</v>
      </c>
      <c r="C229" t="s">
        <v>30</v>
      </c>
      <c r="D229" t="s">
        <v>13</v>
      </c>
      <c r="E229" s="4">
        <v>11</v>
      </c>
      <c r="F229" s="4">
        <v>16</v>
      </c>
      <c r="G229" s="4">
        <v>4</v>
      </c>
      <c r="H229" s="4">
        <v>33</v>
      </c>
      <c r="I229" s="8">
        <f>E229/F229</f>
        <v>0.6875</v>
      </c>
      <c r="J229">
        <v>4</v>
      </c>
      <c r="K229">
        <f>SUM(L229:AE229)</f>
        <v>4</v>
      </c>
      <c r="L229" s="4">
        <v>1</v>
      </c>
      <c r="M229" s="4">
        <v>1</v>
      </c>
      <c r="N229" s="4">
        <v>1</v>
      </c>
      <c r="O229" s="4">
        <v>0</v>
      </c>
      <c r="P229" s="4">
        <v>1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</row>
    <row r="230" spans="1:31" x14ac:dyDescent="0.25">
      <c r="A230" s="13">
        <f>ROW()-1</f>
        <v>229</v>
      </c>
      <c r="B230" t="s">
        <v>14</v>
      </c>
      <c r="C230" t="s">
        <v>30</v>
      </c>
      <c r="D230" t="s">
        <v>13</v>
      </c>
      <c r="E230" s="4">
        <v>15</v>
      </c>
      <c r="F230" s="4">
        <v>13</v>
      </c>
      <c r="G230" s="4">
        <v>8</v>
      </c>
      <c r="H230" s="4">
        <v>51</v>
      </c>
      <c r="I230" s="8">
        <f>E230/F230</f>
        <v>1.1538461538461537</v>
      </c>
      <c r="J230">
        <v>1</v>
      </c>
      <c r="K230">
        <f>SUM(L230:AE230)</f>
        <v>4</v>
      </c>
      <c r="L230" s="4">
        <v>1</v>
      </c>
      <c r="M230" s="4">
        <v>1</v>
      </c>
      <c r="N230" s="4">
        <v>1</v>
      </c>
      <c r="O230" s="4">
        <v>0</v>
      </c>
      <c r="P230" s="4">
        <v>1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</row>
    <row r="231" spans="1:31" x14ac:dyDescent="0.25">
      <c r="A231" t="s">
        <v>50</v>
      </c>
      <c r="E231" s="4">
        <f>SUBTOTAL(109,Tabela1[K])</f>
        <v>3778</v>
      </c>
      <c r="F231" s="4">
        <f>SUBTOTAL(109,Tabela1[D])</f>
        <v>3538</v>
      </c>
      <c r="G231" s="4">
        <f>SUBTOTAL(109,Tabela1[A])</f>
        <v>1073</v>
      </c>
      <c r="H231" s="4">
        <f>SUBTOTAL(101,Tabela1[PTS])</f>
        <v>43.096069868995635</v>
      </c>
      <c r="I231" s="8">
        <f>SUBTOTAL(101,Tabela1[KDR])</f>
        <v>1.2324961354257888</v>
      </c>
      <c r="J231" s="9">
        <f>SUBTOTAL(101,Tabela1[Place (PTS)])</f>
        <v>2.5414847161572052</v>
      </c>
      <c r="K231">
        <f>SUBTOTAL(104,Tabela1[Amigos])</f>
        <v>4</v>
      </c>
      <c r="L231" s="4">
        <f>SUBTOTAL(109,Tabela1[HAMMER])</f>
        <v>114</v>
      </c>
      <c r="M231" s="4">
        <f>SUBTOTAL(109,Tabela1[LEO])</f>
        <v>127</v>
      </c>
      <c r="N231" s="4">
        <f>SUBTOTAL(109,Tabela1[PILOTO WILLY])</f>
        <v>101</v>
      </c>
      <c r="O231" s="4">
        <f>SUBTOTAL(109,Tabela1[JÃO])</f>
        <v>19</v>
      </c>
      <c r="P231" s="4">
        <f>SUBTOTAL(109,Tabela1[LAKES])</f>
        <v>74</v>
      </c>
      <c r="Q231" s="4">
        <f>SUBTOTAL(109,Tabela1[MANZA])</f>
        <v>4</v>
      </c>
      <c r="R231" s="4">
        <f>SUBTOTAL(109,Tabela1[VAQUEIRO])</f>
        <v>7</v>
      </c>
      <c r="S231" s="4">
        <f>SUBTOTAL(109,Tabela1[GABEN])</f>
        <v>7</v>
      </c>
      <c r="T231" s="4">
        <f>SUBTOTAL(109,Tabela1[ARAGON])</f>
        <v>7</v>
      </c>
      <c r="U231" s="4">
        <f>SUBTOTAL(109,Tabela1[BRUNOMS25])</f>
        <v>1</v>
      </c>
      <c r="V231" s="4">
        <f>SUBTOTAL(109,Tabela1[NOT])</f>
        <v>53</v>
      </c>
      <c r="W231" s="4">
        <f>SUBTOTAL(109,Tabela1[SRX])</f>
        <v>1</v>
      </c>
      <c r="X231" s="4">
        <f>SUBTOTAL(109,Tabela1[ANGELZERA])</f>
        <v>1</v>
      </c>
      <c r="Y231" s="4">
        <f>SUBTOTAL(109,Tabela1[MODS])</f>
        <v>6</v>
      </c>
      <c r="Z231" s="4">
        <f>SUBTOTAL(109,Tabela1[BELLONES])</f>
        <v>1</v>
      </c>
      <c r="AA231" s="4">
        <f>SUBTOTAL(109,Tabela1[AUGUSTO])</f>
        <v>1</v>
      </c>
      <c r="AB231" s="4">
        <f>SUBTOTAL(109,Tabela1[ERROR])</f>
        <v>21</v>
      </c>
      <c r="AC231" s="4">
        <f>SUBTOTAL(109,Tabela1[NAKAI])</f>
        <v>4</v>
      </c>
      <c r="AD231" s="4">
        <f>SUBTOTAL(109,Tabela1[ERIC])</f>
        <v>4</v>
      </c>
      <c r="AE231" s="4">
        <f>SUBTOTAL(109,Tabela1[FREZA])</f>
        <v>1</v>
      </c>
    </row>
  </sheetData>
  <phoneticPr fontId="2" type="noConversion"/>
  <conditionalFormatting sqref="I2:I231">
    <cfRule type="cellIs" dxfId="3" priority="2" operator="lessThan">
      <formula>0.75</formula>
    </cfRule>
    <cfRule type="cellIs" dxfId="2" priority="3" operator="between">
      <formula>0.75</formula>
      <formula>0.99</formula>
    </cfRule>
    <cfRule type="cellIs" dxfId="1" priority="4" operator="greaterThanOrEqual">
      <formula>1</formula>
    </cfRule>
  </conditionalFormatting>
  <conditionalFormatting sqref="I50">
    <cfRule type="cellIs" dxfId="0" priority="1" operator="greaterThan">
      <formula>5</formula>
    </cfRule>
  </conditionalFormatting>
  <pageMargins left="0.511811024" right="0.511811024" top="0.78740157499999996" bottom="0.78740157499999996" header="0.31496062000000002" footer="0.31496062000000002"/>
  <pageSetup orientation="portrait" horizontalDpi="360" verticalDpi="360" r:id="rId2"/>
  <ignoredErrors>
    <ignoredError sqref="I43" evalError="1"/>
    <ignoredError sqref="I42" calculatedColumn="1"/>
  </ignoredError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22E522-747C-40D2-905E-4C58D93DD2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Season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Paulo Paixão Botelho</dc:creator>
  <cp:lastModifiedBy>Luís Paulo Paixão Botelho</cp:lastModifiedBy>
  <dcterms:created xsi:type="dcterms:W3CDTF">2026-01-25T11:44:44Z</dcterms:created>
  <dcterms:modified xsi:type="dcterms:W3CDTF">2026-06-23T02:10:14Z</dcterms:modified>
</cp:coreProperties>
</file>